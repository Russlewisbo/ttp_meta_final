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usselllewis/Desktop/"/>
    </mc:Choice>
  </mc:AlternateContent>
  <xr:revisionPtr revIDLastSave="0" documentId="8_{91575A9C-5E80-D446-AFC5-C824718C2FE6}" xr6:coauthVersionLast="47" xr6:coauthVersionMax="47" xr10:uidLastSave="{00000000-0000-0000-0000-000000000000}"/>
  <bookViews>
    <workbookView xWindow="0" yWindow="600" windowWidth="51200" windowHeight="26460" tabRatio="500" activeTab="4" xr2:uid="{00000000-000D-0000-FFFF-FFFF00000000}"/>
  </bookViews>
  <sheets>
    <sheet name="Instructions" sheetId="1" r:id="rId1"/>
    <sheet name="tbl_study" sheetId="2" r:id="rId2"/>
    <sheet name="tbl_population" sheetId="3" r:id="rId3"/>
    <sheet name="tbl_ttp" sheetId="4" r:id="rId4"/>
    <sheet name="tbl_outcomes" sheetId="5" r:id="rId5"/>
    <sheet name="tbl_es" sheetId="6" r:id="rId6"/>
    <sheet name="Codebook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1" i="5" l="1"/>
  <c r="P40" i="5"/>
  <c r="P39" i="5"/>
  <c r="P38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<sst xmlns="http://schemas.openxmlformats.org/spreadsheetml/2006/main" count="1363" uniqueCount="463">
  <si>
    <t>TTP &amp; Antibiotic Failure Meta-Analysis — Data Extraction Workbook</t>
  </si>
  <si>
    <t>GENERAL INSTRUCTIONS</t>
  </si>
  <si>
    <t>1. Each included study gets one row in tbl_study.</t>
  </si>
  <si>
    <t>2. Each study may have multiple rows in tbl_population (one per subgroup/arm reported).</t>
  </si>
  <si>
    <t>3. Link all tables using the study_id and arm_id fields.</t>
  </si>
  <si>
    <t>4. Use the dropdown menus for categorical fields — they enforce the codebook values.</t>
  </si>
  <si>
    <t>5. Yellow-highlighted cells are data entry fields.</t>
  </si>
  <si>
    <t>6. The tbl_es sheet is generated programmatically in R — do not enter data manually.</t>
  </si>
  <si>
    <t>TIPS FOR EXTRACTION</t>
  </si>
  <si>
    <t>- Record TTP in HOURS. If the study reports minutes, note ttp_unit = minutes and convert.</t>
  </si>
  <si>
    <t>- When a study reports both continuous and dichotomized TTP, create entries in tbl_ttp for BOTH.</t>
  </si>
  <si>
    <t>- For outcomes, capture raw 2x2 data whenever available (events_short_ttp, n_short_ttp, etc.).</t>
  </si>
  <si>
    <t>- Also capture reported effect estimates (OR/HR with CI) even if 2x2 data is available.</t>
  </si>
  <si>
    <t>- For continuous TTP associations, record beta_per_hour and se_beta.</t>
  </si>
  <si>
    <t>- If OR per hour is reported instead of beta, record or_per_hour and its CI.</t>
  </si>
  <si>
    <t>- Use the notes column liberally for any ambiguities or extraction decisions.</t>
  </si>
  <si>
    <t>RISK OF BIAS</t>
  </si>
  <si>
    <t>- QUIPS (Quality in Prognostic Studies) is recommended for prognostic factor studies.</t>
  </si>
  <si>
    <t>- Score each domain 1 (low), 2 (moderate), or 3 (high risk of bias).</t>
  </si>
  <si>
    <t>- The overall judgment should follow QUIPS guidance (not simply the average of domains).</t>
  </si>
  <si>
    <t>- NOS (Newcastle-Ottawa Scale) is included as an alternative; use one or both as per protocol.</t>
  </si>
  <si>
    <t>DUAL EXTRACTION</t>
  </si>
  <si>
    <t>- Two reviewers should independently extract data into separate copies of this workbook.</t>
  </si>
  <si>
    <t>- Discrepancies should be resolved by consensus or a third reviewer.</t>
  </si>
  <si>
    <t>- Record the extractor initials and date of extraction in the notes field.</t>
  </si>
  <si>
    <t>study_id</t>
  </si>
  <si>
    <t>first_author</t>
  </si>
  <si>
    <t>pub_year</t>
  </si>
  <si>
    <t>country</t>
  </si>
  <si>
    <t>study_design</t>
  </si>
  <si>
    <t>enrollment_start</t>
  </si>
  <si>
    <t>enrollment_end</t>
  </si>
  <si>
    <t>single_center</t>
  </si>
  <si>
    <t>n_centers</t>
  </si>
  <si>
    <t>funding_source</t>
  </si>
  <si>
    <t>rob_selection</t>
  </si>
  <si>
    <t>rob_comparability</t>
  </si>
  <si>
    <t>rob_outcome</t>
  </si>
  <si>
    <t>rob_stat_analysis</t>
  </si>
  <si>
    <t>rob_attrition</t>
  </si>
  <si>
    <t>rob_prognostic_measurement</t>
  </si>
  <si>
    <t>rob_overall</t>
  </si>
  <si>
    <t>nos_score</t>
  </si>
  <si>
    <t>notes</t>
  </si>
  <si>
    <t>Bae2021</t>
  </si>
  <si>
    <t>Bae</t>
  </si>
  <si>
    <t>South Korea</t>
  </si>
  <si>
    <t>retrospective_cohort</t>
  </si>
  <si>
    <t>public</t>
  </si>
  <si>
    <t>Chen2020</t>
  </si>
  <si>
    <t>Chen</t>
  </si>
  <si>
    <t>China</t>
  </si>
  <si>
    <t>Cilloniz2017</t>
  </si>
  <si>
    <t>Cillóniz</t>
  </si>
  <si>
    <t>Spain</t>
  </si>
  <si>
    <t>prospective_cohort</t>
  </si>
  <si>
    <t>Deas2025</t>
  </si>
  <si>
    <t>Deas</t>
  </si>
  <si>
    <t>United Kingdom</t>
  </si>
  <si>
    <t>Maillart2012</t>
  </si>
  <si>
    <t>Maillart</t>
  </si>
  <si>
    <t>Belgium</t>
  </si>
  <si>
    <t>NR</t>
  </si>
  <si>
    <t>Edwards2025</t>
  </si>
  <si>
    <t>Edwards</t>
  </si>
  <si>
    <t>Australia</t>
  </si>
  <si>
    <t>Hou2023</t>
  </si>
  <si>
    <t>Hou</t>
  </si>
  <si>
    <t>Ji2020</t>
  </si>
  <si>
    <t>Ji</t>
  </si>
  <si>
    <t>United States</t>
  </si>
  <si>
    <t>n=395 BSI episodes among 2,751 total HSCT admissions. 395 is the analytical sample for BSI analysis.</t>
  </si>
  <si>
    <t>Lambregts2019</t>
  </si>
  <si>
    <t>Lambregts</t>
  </si>
  <si>
    <t>Netherlands</t>
  </si>
  <si>
    <t>Marco2025</t>
  </si>
  <si>
    <t>Marco</t>
  </si>
  <si>
    <t>Melling2019</t>
  </si>
  <si>
    <t>Melling</t>
  </si>
  <si>
    <t>USA</t>
  </si>
  <si>
    <t>n=263 patients with positive MRSA cultures from 6,553 total ICU admissions screened. 263 is the analytical sample.</t>
  </si>
  <si>
    <t>Minejima2019</t>
  </si>
  <si>
    <t>Minejima</t>
  </si>
  <si>
    <t>Nadeem2021</t>
  </si>
  <si>
    <t>Nadeem</t>
  </si>
  <si>
    <t>UAE</t>
  </si>
  <si>
    <t>Ok2013</t>
  </si>
  <si>
    <t>Ok</t>
  </si>
  <si>
    <t>PapadimitriouOlivgeris2023</t>
  </si>
  <si>
    <t>Papadimitriou-Olivgeris</t>
  </si>
  <si>
    <t>Switzerland</t>
  </si>
  <si>
    <t>779 patients with 839 SAB episodes (some patients had multiple episodes). Summary PDF reports 839 episodes.</t>
  </si>
  <si>
    <t>Peralta2006</t>
  </si>
  <si>
    <t>Peralta</t>
  </si>
  <si>
    <t>1995-01-01</t>
  </si>
  <si>
    <t>2004-12-31</t>
  </si>
  <si>
    <t>SantosPatarroyo2025</t>
  </si>
  <si>
    <t>Santos-Patarroyo</t>
  </si>
  <si>
    <t>2015-01-01</t>
  </si>
  <si>
    <t>2021-12-31</t>
  </si>
  <si>
    <t>Takahashi2022</t>
  </si>
  <si>
    <t>Takahashi</t>
  </si>
  <si>
    <t>Japan</t>
  </si>
  <si>
    <t>2018-04-01</t>
  </si>
  <si>
    <t>2019-03-31</t>
  </si>
  <si>
    <t>Turkeltaub2024</t>
  </si>
  <si>
    <t>Turkeltaub</t>
  </si>
  <si>
    <t>Israel</t>
  </si>
  <si>
    <t>Zhang2021</t>
  </si>
  <si>
    <t>Zhang</t>
  </si>
  <si>
    <t>2013-01-01</t>
  </si>
  <si>
    <t>2018-12-31</t>
  </si>
  <si>
    <t>arm_id</t>
  </si>
  <si>
    <t>n_total</t>
  </si>
  <si>
    <t>age_mean</t>
  </si>
  <si>
    <t>age_sd</t>
  </si>
  <si>
    <t>age_median</t>
  </si>
  <si>
    <t>age_iqr_low</t>
  </si>
  <si>
    <t>age_iqr_high</t>
  </si>
  <si>
    <t>pct_male</t>
  </si>
  <si>
    <t>pathogen_class</t>
  </si>
  <si>
    <t>pathogen_species</t>
  </si>
  <si>
    <t>pct_mrsa</t>
  </si>
  <si>
    <t>infection_source</t>
  </si>
  <si>
    <t>source_control</t>
  </si>
  <si>
    <t>pct_icu</t>
  </si>
  <si>
    <t>severity_score_type</t>
  </si>
  <si>
    <t>severity_score_mean</t>
  </si>
  <si>
    <t>severity_score_median</t>
  </si>
  <si>
    <t>pct_appropriate_empiric</t>
  </si>
  <si>
    <t>empiric_abx_definition</t>
  </si>
  <si>
    <t>blood_culture_system</t>
  </si>
  <si>
    <t>incubation_protocol</t>
  </si>
  <si>
    <t>all</t>
  </si>
  <si>
    <t>gram_negative</t>
  </si>
  <si>
    <t>Escherichia coli (40.8%), Klebsiella (23.4%)</t>
  </si>
  <si>
    <t>mixed</t>
  </si>
  <si>
    <t>SOFA</t>
  </si>
  <si>
    <t>BACTEC</t>
  </si>
  <si>
    <t>Escherichia coli</t>
  </si>
  <si>
    <t>Charlson</t>
  </si>
  <si>
    <t>gram_positive</t>
  </si>
  <si>
    <t>Streptococcus pneumoniae</t>
  </si>
  <si>
    <t>pulmonary</t>
  </si>
  <si>
    <t>not_applicable</t>
  </si>
  <si>
    <t>Staphylococcus aureus, Enterococci, Streptococci</t>
  </si>
  <si>
    <t>endovascular</t>
  </si>
  <si>
    <t>Staphylococcus aureus</t>
  </si>
  <si>
    <t>mixed_monomicrobial</t>
  </si>
  <si>
    <t>BacTALERT</t>
  </si>
  <si>
    <t>Klebsiella pneumoniae</t>
  </si>
  <si>
    <t>polymicrobial</t>
  </si>
  <si>
    <t>APACHE</t>
  </si>
  <si>
    <t>PITT</t>
  </si>
  <si>
    <t>Pseudomonas aeruginosa</t>
  </si>
  <si>
    <t>Pitt</t>
  </si>
  <si>
    <t>other</t>
  </si>
  <si>
    <t>Mixed organisms</t>
  </si>
  <si>
    <t>APACHE_II</t>
  </si>
  <si>
    <t>Enterobacteriaceae</t>
  </si>
  <si>
    <t>Staphylococcus aureus; Escherichia coli</t>
  </si>
  <si>
    <t>qSOFA; Pitt</t>
  </si>
  <si>
    <t>ttp_reporting</t>
  </si>
  <si>
    <t>ttp_unit</t>
  </si>
  <si>
    <t>ttp_mean</t>
  </si>
  <si>
    <t>ttp_sd</t>
  </si>
  <si>
    <t>ttp_median</t>
  </si>
  <si>
    <t>ttp_iqr_low</t>
  </si>
  <si>
    <t>ttp_iqr_high</t>
  </si>
  <si>
    <t>ttp_range_low</t>
  </si>
  <si>
    <t>ttp_range_high</t>
  </si>
  <si>
    <t>ttp_cutpoint_hours</t>
  </si>
  <si>
    <t>ttp_cutpoint_basis</t>
  </si>
  <si>
    <t>n_short_ttp</t>
  </si>
  <si>
    <t>n_long_ttp</t>
  </si>
  <si>
    <t>ttp_mean_short</t>
  </si>
  <si>
    <t>ttp_mean_long</t>
  </si>
  <si>
    <t>ttp_n_categories</t>
  </si>
  <si>
    <t>ttp_cat_labels</t>
  </si>
  <si>
    <t>ttp_cat_ns</t>
  </si>
  <si>
    <t>continuous</t>
  </si>
  <si>
    <t>hours</t>
  </si>
  <si>
    <t>dichotomized</t>
  </si>
  <si>
    <t>ROC_derived</t>
  </si>
  <si>
    <t>both</t>
  </si>
  <si>
    <t>median_split</t>
  </si>
  <si>
    <t>clinical_convention</t>
  </si>
  <si>
    <t>outcome_type</t>
  </si>
  <si>
    <t>outcome_definition</t>
  </si>
  <si>
    <t>outcome_timepoint_days</t>
  </si>
  <si>
    <t>outcome_timepoint_label</t>
  </si>
  <si>
    <t>events_short_ttp</t>
  </si>
  <si>
    <t>events_long_ttp</t>
  </si>
  <si>
    <t>effect_measure</t>
  </si>
  <si>
    <t>effect_estimate</t>
  </si>
  <si>
    <t>ci_lower</t>
  </si>
  <si>
    <t>ci_upper</t>
  </si>
  <si>
    <t>p_value</t>
  </si>
  <si>
    <t>adjusted</t>
  </si>
  <si>
    <t>adjustment_vars</t>
  </si>
  <si>
    <t>beta_per_hour</t>
  </si>
  <si>
    <t>se_beta</t>
  </si>
  <si>
    <t>or_per_hour</t>
  </si>
  <si>
    <t>or_per_hour_ci_low</t>
  </si>
  <si>
    <t>or_per_hour_ci_high</t>
  </si>
  <si>
    <t>mortality</t>
  </si>
  <si>
    <t>28-day mortality</t>
  </si>
  <si>
    <t>28-day</t>
  </si>
  <si>
    <t>28-day mortality in E. coli bacteremia</t>
  </si>
  <si>
    <t>OR</t>
  </si>
  <si>
    <t>septic_shock</t>
  </si>
  <si>
    <t>Septic shock presence</t>
  </si>
  <si>
    <t>ICU admission, neutropenia</t>
  </si>
  <si>
    <t xml:space="preserve">[NON-PICO OUTCOME - not in pre-specified primary/secondary outcomes] </t>
  </si>
  <si>
    <t>In-hospital mortality</t>
  </si>
  <si>
    <t>Hospital stay</t>
  </si>
  <si>
    <t>Charlson index, Pittsburgh score, ICU admission</t>
  </si>
  <si>
    <t>in-hospital</t>
  </si>
  <si>
    <t>Age, acute renal failure, SOFA</t>
  </si>
  <si>
    <t>Cross-validated with summary PDF. In-hospital mortality, multivariate analysis.</t>
  </si>
  <si>
    <t>30-day mortality</t>
  </si>
  <si>
    <t>30-day</t>
  </si>
  <si>
    <t>Cross-validated with summary PDF. 30-day mortality, univariate analysis.</t>
  </si>
  <si>
    <t>mechanical_ventilation</t>
  </si>
  <si>
    <t>Need for invasive mechanical ventilation</t>
  </si>
  <si>
    <t>Potential confounders</t>
  </si>
  <si>
    <t>endocarditis</t>
  </si>
  <si>
    <t>Infective endocarditis in S. aureus bacteremia</t>
  </si>
  <si>
    <t>Infective endocarditis in Streptococci bacteremia</t>
  </si>
  <si>
    <t>Infective endocarditis in Enterococci bacteremia</t>
  </si>
  <si>
    <t>Attributable mortality</t>
  </si>
  <si>
    <t>Infective endocarditis</t>
  </si>
  <si>
    <t>persistent_bacteremia</t>
  </si>
  <si>
    <t>Persistent positive blood culture beyond 48h of appropriate antibiotics</t>
  </si>
  <si>
    <t>48 hours</t>
  </si>
  <si>
    <t>Day 30 mortality</t>
  </si>
  <si>
    <t>In-hospital mortality (adjusted)</t>
  </si>
  <si>
    <t>age, SCR, WBC, CRP</t>
  </si>
  <si>
    <t>Septic shock</t>
  </si>
  <si>
    <t>ICU_admission</t>
  </si>
  <si>
    <t>ICU admission</t>
  </si>
  <si>
    <t>multiple</t>
  </si>
  <si>
    <t>Hospital mortality</t>
  </si>
  <si>
    <t>multiple clinical and laboratory factors</t>
  </si>
  <si>
    <t>delayed_antibiotics</t>
  </si>
  <si>
    <t>Delayed appropriate antibiotics (&gt;24h)</t>
  </si>
  <si>
    <t>bacteremia_clearance</t>
  </si>
  <si>
    <t>Probability of bacteremia at 24 hours</t>
  </si>
  <si>
    <t>24 hours</t>
  </si>
  <si>
    <t>short_ttp_predictor</t>
  </si>
  <si>
    <t>Predictors of short TTP (&lt;24h)</t>
  </si>
  <si>
    <t>RR</t>
  </si>
  <si>
    <t>catheter_related_bsi</t>
  </si>
  <si>
    <t>Catheter-related PAE-BSI diagnosis</t>
  </si>
  <si>
    <t>30-day mortality (catheter-related)</t>
  </si>
  <si>
    <t>30-day mortality (other sources)</t>
  </si>
  <si>
    <t>microbiological_clearance</t>
  </si>
  <si>
    <t>Time to growth of MRSA on sputum cultures</t>
  </si>
  <si>
    <t>Culture positivity</t>
  </si>
  <si>
    <t>Time to identification of Gram-positive cocci on Gram stain of blood cultures</t>
  </si>
  <si>
    <t>30-day all-cause mortality</t>
  </si>
  <si>
    <t>age, gender, bacteremia duration, Pitt score</t>
  </si>
  <si>
    <t>Bacteremia persistent for 3 or more days</t>
  </si>
  <si>
    <t>3+ days</t>
  </si>
  <si>
    <t>age, gender, Pitt score</t>
  </si>
  <si>
    <t>metastatic_complications</t>
  </si>
  <si>
    <t>Metastatic complications</t>
  </si>
  <si>
    <t>In-hospital</t>
  </si>
  <si>
    <t>Gender, Age, nationality, antibiotics at culture time, procalcitonin, CRP, WBC, shock, MV</t>
  </si>
  <si>
    <t>Bacteremia persistent for 7 or more days</t>
  </si>
  <si>
    <t>7+ days</t>
  </si>
  <si>
    <t>metastatic infection, catheter removal timing</t>
  </si>
  <si>
    <t>28-day all-cause mortality</t>
  </si>
  <si>
    <t>Charlson comorbidity index, nosocomial bacteremia, time to TTP, persistent bacteremia, sepsis, unknown origin, respiratory infection</t>
  </si>
  <si>
    <t>OR 1.85 per unit decrease in TTP. Cross-validated with summary PDF.</t>
  </si>
  <si>
    <t>Bacteremia persistent for 2.48 hours or more (continuous variable)</t>
  </si>
  <si>
    <t>Continuous</t>
  </si>
  <si>
    <t>Charlson comorbidity index, nosocomial bacteremia, infection site</t>
  </si>
  <si>
    <t>Extended bacteremia (≥2 days)</t>
  </si>
  <si>
    <t>age, vegetation_location, native_valve_endocarditis, intravenous_drug_use, prior_antibiotic_exposure</t>
  </si>
  <si>
    <t>14-day mortality after blood culture positivity</t>
  </si>
  <si>
    <t>14-day mortality</t>
  </si>
  <si>
    <t>HR</t>
  </si>
  <si>
    <t>PBS_score, E_coli_detection, Klebsiella_detection, ICU_admission</t>
  </si>
  <si>
    <t>In-hospital mortality within 30 days after onset of ECBSI</t>
  </si>
  <si>
    <t>In-hospital 30-day mortality</t>
  </si>
  <si>
    <t>inappropriate_antibiotic_therapy, ARDS, blood_transfusion, metastasis, fever</t>
  </si>
  <si>
    <t>es_id</t>
  </si>
  <si>
    <t>yi (log-OR)</t>
  </si>
  <si>
    <t>vi (variance)</t>
  </si>
  <si>
    <t>sei (SE)</t>
  </si>
  <si>
    <t>ni (total N)</t>
  </si>
  <si>
    <t>es_source</t>
  </si>
  <si>
    <t>organism_saureus</t>
  </si>
  <si>
    <t>This sheet is populated programmatically in R using metafor::escalc(). Do not enter data manually.</t>
  </si>
  <si>
    <t>Table</t>
  </si>
  <si>
    <t>Field</t>
  </si>
  <si>
    <t>Type</t>
  </si>
  <si>
    <t>Required</t>
  </si>
  <si>
    <t>Description</t>
  </si>
  <si>
    <t>Permitted Values / Format</t>
  </si>
  <si>
    <t>tbl_study</t>
  </si>
  <si>
    <t>character</t>
  </si>
  <si>
    <t>Yes</t>
  </si>
  <si>
    <t>Unique study identifier</t>
  </si>
  <si>
    <t>Format: AuthorYear (e.g., Smith2023)</t>
  </si>
  <si>
    <t>First author surname</t>
  </si>
  <si>
    <t>Free text</t>
  </si>
  <si>
    <t>integer</t>
  </si>
  <si>
    <t>Year of publication</t>
  </si>
  <si>
    <t>YYYY format</t>
  </si>
  <si>
    <t>Country where study was conducted</t>
  </si>
  <si>
    <t>ISO country name</t>
  </si>
  <si>
    <t>factor</t>
  </si>
  <si>
    <t>Type of observational design</t>
  </si>
  <si>
    <t>prospective_cohort | retrospective_cohort | case_control</t>
  </si>
  <si>
    <t>date</t>
  </si>
  <si>
    <t>No</t>
  </si>
  <si>
    <t>First patient enrollment date</t>
  </si>
  <si>
    <t>YYYY-MM or YYYY</t>
  </si>
  <si>
    <t>Last patient enrollment date</t>
  </si>
  <si>
    <t>logical</t>
  </si>
  <si>
    <t>Single-center study?</t>
  </si>
  <si>
    <t>TRUE | FALSE</t>
  </si>
  <si>
    <t>Number of participating centers</t>
  </si>
  <si>
    <t>Integer &gt;= 1</t>
  </si>
  <si>
    <t>Primary funding source</t>
  </si>
  <si>
    <t>public | industry | mixed | NR</t>
  </si>
  <si>
    <t>QUIPS domain: Study participation</t>
  </si>
  <si>
    <t>1 (low) to 3 (high)</t>
  </si>
  <si>
    <t>QUIPS domain: Study confounding</t>
  </si>
  <si>
    <t>QUIPS domain: Outcome measurement</t>
  </si>
  <si>
    <t>QUIPS domain: Statistical analysis</t>
  </si>
  <si>
    <t>QUIPS domain: Study attrition</t>
  </si>
  <si>
    <t>QUIPS domain: Prognostic factor measurement</t>
  </si>
  <si>
    <t>Overall risk of bias judgment</t>
  </si>
  <si>
    <t>low | moderate | high | critical</t>
  </si>
  <si>
    <t>Newcastle-Ottawa Scale total (alternative to QUIPS)</t>
  </si>
  <si>
    <t>0-9</t>
  </si>
  <si>
    <t>Free-text notes for extractor</t>
  </si>
  <si>
    <t>tbl_population</t>
  </si>
  <si>
    <t>FK to tbl_study</t>
  </si>
  <si>
    <t>Must match a study_id in tbl_study</t>
  </si>
  <si>
    <t>Subgroup/arm identifier</t>
  </si>
  <si>
    <t>e.g., all, gram_pos, saureus</t>
  </si>
  <si>
    <t>Total sample size in this arm</t>
  </si>
  <si>
    <t>numeric</t>
  </si>
  <si>
    <t>Mean age in years</t>
  </si>
  <si>
    <t>Numeric</t>
  </si>
  <si>
    <t>Standard deviation of age</t>
  </si>
  <si>
    <t>Numeric &gt;= 0</t>
  </si>
  <si>
    <t>Median age (if mean not reported)</t>
  </si>
  <si>
    <t>25th percentile of age</t>
  </si>
  <si>
    <t>75th percentile of age</t>
  </si>
  <si>
    <t>Percent male</t>
  </si>
  <si>
    <t>0-100</t>
  </si>
  <si>
    <t>Gram stain classification</t>
  </si>
  <si>
    <t>gram_positive | gram_negative | mixed | fungal</t>
  </si>
  <si>
    <t>Primary organism species</t>
  </si>
  <si>
    <t>e.g., S. aureus, E. coli, K. pneumoniae</t>
  </si>
  <si>
    <t>Percent MRSA (S. aureus subgroups)</t>
  </si>
  <si>
    <t>Primary source of bacteremia</t>
  </si>
  <si>
    <t>endovascular | line_related | urinary | pulmonary | abdominal | skin_soft_tissue | osteoarticular | unknown | mixed</t>
  </si>
  <si>
    <t>Source control status</t>
  </si>
  <si>
    <t>achieved | not_achieved | mixed | not_applicable | NR</t>
  </si>
  <si>
    <t>Percent in ICU at enrollment</t>
  </si>
  <si>
    <t>Type of severity/comorbidity score</t>
  </si>
  <si>
    <t>APACHE_II | SOFA | Pitt | Charlson | other | NR</t>
  </si>
  <si>
    <t>Mean severity score</t>
  </si>
  <si>
    <t>Median severity score</t>
  </si>
  <si>
    <t>Percent receiving appropriate empiric therapy</t>
  </si>
  <si>
    <t>How appropriate empiric therapy was defined</t>
  </si>
  <si>
    <t>Automated blood culture detection system</t>
  </si>
  <si>
    <t>BacTALERT | BACTEC | other | NR</t>
  </si>
  <si>
    <t>Incubation duration and protocol</t>
  </si>
  <si>
    <t>e.g., standard 5-day, extended</t>
  </si>
  <si>
    <t>Free-text notes</t>
  </si>
  <si>
    <t>tbl_ttp</t>
  </si>
  <si>
    <t>Must match a study_id</t>
  </si>
  <si>
    <t>FK to tbl_population</t>
  </si>
  <si>
    <t>Must match an arm_id</t>
  </si>
  <si>
    <t>How TTP was analyzed in the study</t>
  </si>
  <si>
    <t>continuous | dichotomized | both | categorical</t>
  </si>
  <si>
    <t>Unit of TTP measurement (standardize to hours)</t>
  </si>
  <si>
    <t>hours | minutes</t>
  </si>
  <si>
    <t>Mean TTP in hours (overall)</t>
  </si>
  <si>
    <t>SD of TTP in hours</t>
  </si>
  <si>
    <t>Median TTP in hours</t>
  </si>
  <si>
    <t>25th percentile of TTP</t>
  </si>
  <si>
    <t>75th percentile of TTP</t>
  </si>
  <si>
    <t>Minimum TTP observed</t>
  </si>
  <si>
    <t>Maximum TTP observed</t>
  </si>
  <si>
    <t>Threshold for dichotomization (hours)</t>
  </si>
  <si>
    <t>Numeric; required if ttp_reporting = dichotomized or both</t>
  </si>
  <si>
    <t>How the cut-point was derived</t>
  </si>
  <si>
    <t>ROC_derived | clinical_convention | prior_literature | median_split | other</t>
  </si>
  <si>
    <t>N in short TTP group</t>
  </si>
  <si>
    <t>Integer; required if dichotomized</t>
  </si>
  <si>
    <t>N in long TTP group</t>
  </si>
  <si>
    <t>Mean TTP in short group</t>
  </si>
  <si>
    <t>Mean TTP in long group</t>
  </si>
  <si>
    <t>Number of TTP categories (if &gt;2)</t>
  </si>
  <si>
    <t>Integer &gt;= 3</t>
  </si>
  <si>
    <t>Category labels</t>
  </si>
  <si>
    <t>Semicolon-separated</t>
  </si>
  <si>
    <t>Category sample sizes</t>
  </si>
  <si>
    <t>Semicolon-separated integers</t>
  </si>
  <si>
    <t>tbl_outcomes</t>
  </si>
  <si>
    <t>Outcome category</t>
  </si>
  <si>
    <t>persistent_bacteremia | relapse | microbiological_clearance | mortality</t>
  </si>
  <si>
    <t>Verbatim definition from study</t>
  </si>
  <si>
    <t>Assessment time window (days)</t>
  </si>
  <si>
    <t>e.g., 2-3 for persistent, 30 for mortality</t>
  </si>
  <si>
    <t>Descriptive time label</t>
  </si>
  <si>
    <t>e.g., "48-72h", "30-day", "in-hospital"</t>
  </si>
  <si>
    <t>Events in short TTP group</t>
  </si>
  <si>
    <t>Integer; for 2x2 table</t>
  </si>
  <si>
    <t>Total in short TTP group</t>
  </si>
  <si>
    <t>Events in long TTP group</t>
  </si>
  <si>
    <t>Total in long TTP group</t>
  </si>
  <si>
    <t>Type of reported effect estimate</t>
  </si>
  <si>
    <t>OR | RR | HR | IRR</t>
  </si>
  <si>
    <t>Point estimate (native scale)</t>
  </si>
  <si>
    <t>Numeric &gt; 0</t>
  </si>
  <si>
    <t>Lower bound of 95% CI</t>
  </si>
  <si>
    <t>Upper bound of 95% CI</t>
  </si>
  <si>
    <t>P-value (if reported)</t>
  </si>
  <si>
    <t>0-1</t>
  </si>
  <si>
    <t>Is the estimate adjusted?</t>
  </si>
  <si>
    <t>Covariates in adjusted model</t>
  </si>
  <si>
    <t>Log-effect per hour increase in TTP</t>
  </si>
  <si>
    <t>Numeric; for continuous TTP</t>
  </si>
  <si>
    <t>SE of beta_per_hour</t>
  </si>
  <si>
    <t>OR per 1-hour increase in TTP</t>
  </si>
  <si>
    <t>Lower 95% CI for OR per hour</t>
  </si>
  <si>
    <t>Upper 95% CI for OR per hour</t>
  </si>
  <si>
    <t>tbl_es</t>
  </si>
  <si>
    <t>Row-level unique ID for multivariate models</t>
  </si>
  <si>
    <t>Auto-generated in R</t>
  </si>
  <si>
    <t>From tbl_outcomes</t>
  </si>
  <si>
    <t>yi</t>
  </si>
  <si>
    <t>Log-OR or log-HR (effect size)</t>
  </si>
  <si>
    <t>Computed via escalc()</t>
  </si>
  <si>
    <t>vi</t>
  </si>
  <si>
    <t>Sampling variance of yi</t>
  </si>
  <si>
    <t>sei</t>
  </si>
  <si>
    <t>Standard error of yi = sqrt(vi)</t>
  </si>
  <si>
    <t>Computed</t>
  </si>
  <si>
    <t>ni</t>
  </si>
  <si>
    <t>Total N contributing to estimate</t>
  </si>
  <si>
    <t>How effect size was derived</t>
  </si>
  <si>
    <t>two_by_two | reported_adjusted | reported_unadjusted | continuous_converted</t>
  </si>
  <si>
    <t>Moderator: gram stain class</t>
  </si>
  <si>
    <t>From tbl_population</t>
  </si>
  <si>
    <t>Moderator: S. aureus flag</t>
  </si>
  <si>
    <t>Moderator: source control status</t>
  </si>
  <si>
    <t>Moderator: infection source</t>
  </si>
  <si>
    <t>Moderator: TTP cut-point used</t>
  </si>
  <si>
    <t>From tbl_ttp</t>
  </si>
  <si>
    <t>Study-level covariate</t>
  </si>
  <si>
    <t>Moderator: detection system</t>
  </si>
  <si>
    <t>Risk of bias rating</t>
  </si>
  <si>
    <t>From tbl_study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</si>
</sst>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2F5496"/>
      <name val="Arial"/>
      <family val="2"/>
    </font>
    <font>
      <sz val="10"/>
      <name val="Arial"/>
      <family val="2"/>
    </font>
    <font>
      <b/>
      <sz val="11"/>
      <color rgb="FF2F5496"/>
      <name val="Arial"/>
      <family val="2"/>
    </font>
    <font>
      <b/>
      <sz val="11"/>
      <color rgb="FFFFFFFF"/>
      <name val="Arial"/>
      <family val="2"/>
    </font>
    <font>
      <i/>
      <sz val="10"/>
      <color rgb="FFC00000"/>
      <name val="Arial"/>
      <family val="2"/>
    </font>
    <font>
      <b/>
      <sz val="10"/>
      <color rgb="FF37562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6" fillId="4" borderId="1" xfId="0" applyFont="1" applyFill="1" applyBorder="1"/>
    <xf numFmtId="0" fontId="0" fillId="4" borderId="1" xfId="0" applyFill="1" applyBorder="1"/>
    <xf numFmtId="0" fontId="2" fillId="0" borderId="1" xfId="0" applyFon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C6E7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00B050"/>
      <rgbColor rgb="FF003300"/>
      <rgbColor rgb="FF375623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29"/>
  <sheetViews>
    <sheetView zoomScaleNormal="100" workbookViewId="0"/>
  </sheetViews>
  <sheetFormatPr baseColWidth="10" defaultColWidth="8.6640625" defaultRowHeight="15" customHeight="1" x14ac:dyDescent="0.2"/>
  <cols>
    <col min="1" max="1" width="100" customWidth="1"/>
  </cols>
  <sheetData>
    <row r="1" spans="1:1" ht="18" customHeight="1" x14ac:dyDescent="0.2">
      <c r="A1" s="1" t="s">
        <v>0</v>
      </c>
    </row>
    <row r="2" spans="1:1" ht="15" customHeight="1" x14ac:dyDescent="0.2">
      <c r="A2" s="2"/>
    </row>
    <row r="3" spans="1:1" ht="15" customHeight="1" x14ac:dyDescent="0.2">
      <c r="A3" s="3" t="s">
        <v>1</v>
      </c>
    </row>
    <row r="4" spans="1:1" ht="15" customHeight="1" x14ac:dyDescent="0.2">
      <c r="A4" s="2" t="s">
        <v>2</v>
      </c>
    </row>
    <row r="5" spans="1:1" ht="15" customHeight="1" x14ac:dyDescent="0.2">
      <c r="A5" s="2" t="s">
        <v>3</v>
      </c>
    </row>
    <row r="6" spans="1:1" ht="15" customHeight="1" x14ac:dyDescent="0.2">
      <c r="A6" s="2" t="s">
        <v>4</v>
      </c>
    </row>
    <row r="7" spans="1:1" ht="15" customHeight="1" x14ac:dyDescent="0.2">
      <c r="A7" s="2" t="s">
        <v>5</v>
      </c>
    </row>
    <row r="8" spans="1:1" ht="15" customHeight="1" x14ac:dyDescent="0.2">
      <c r="A8" s="2" t="s">
        <v>6</v>
      </c>
    </row>
    <row r="9" spans="1:1" ht="15" customHeight="1" x14ac:dyDescent="0.2">
      <c r="A9" s="2" t="s">
        <v>7</v>
      </c>
    </row>
    <row r="10" spans="1:1" ht="15" customHeight="1" x14ac:dyDescent="0.2">
      <c r="A10" s="2"/>
    </row>
    <row r="11" spans="1:1" ht="15" customHeight="1" x14ac:dyDescent="0.2">
      <c r="A11" s="3" t="s">
        <v>8</v>
      </c>
    </row>
    <row r="12" spans="1:1" ht="15" customHeight="1" x14ac:dyDescent="0.2">
      <c r="A12" s="2" t="s">
        <v>9</v>
      </c>
    </row>
    <row r="13" spans="1:1" ht="15" customHeight="1" x14ac:dyDescent="0.2">
      <c r="A13" s="2" t="s">
        <v>10</v>
      </c>
    </row>
    <row r="14" spans="1:1" ht="15" customHeight="1" x14ac:dyDescent="0.2">
      <c r="A14" s="2" t="s">
        <v>11</v>
      </c>
    </row>
    <row r="15" spans="1:1" ht="15" customHeight="1" x14ac:dyDescent="0.2">
      <c r="A15" s="2" t="s">
        <v>12</v>
      </c>
    </row>
    <row r="16" spans="1:1" ht="15" customHeight="1" x14ac:dyDescent="0.2">
      <c r="A16" s="2" t="s">
        <v>13</v>
      </c>
    </row>
    <row r="17" spans="1:1" ht="15" customHeight="1" x14ac:dyDescent="0.2">
      <c r="A17" s="2" t="s">
        <v>14</v>
      </c>
    </row>
    <row r="18" spans="1:1" ht="15" customHeight="1" x14ac:dyDescent="0.2">
      <c r="A18" s="2" t="s">
        <v>15</v>
      </c>
    </row>
    <row r="19" spans="1:1" ht="15" customHeight="1" x14ac:dyDescent="0.2">
      <c r="A19" s="2"/>
    </row>
    <row r="20" spans="1:1" ht="15" customHeight="1" x14ac:dyDescent="0.2">
      <c r="A20" s="3" t="s">
        <v>16</v>
      </c>
    </row>
    <row r="21" spans="1:1" ht="15" customHeight="1" x14ac:dyDescent="0.2">
      <c r="A21" s="2" t="s">
        <v>17</v>
      </c>
    </row>
    <row r="22" spans="1:1" ht="15" customHeight="1" x14ac:dyDescent="0.2">
      <c r="A22" s="2" t="s">
        <v>18</v>
      </c>
    </row>
    <row r="23" spans="1:1" ht="15" customHeight="1" x14ac:dyDescent="0.2">
      <c r="A23" s="2" t="s">
        <v>19</v>
      </c>
    </row>
    <row r="24" spans="1:1" ht="15" customHeight="1" x14ac:dyDescent="0.2">
      <c r="A24" s="2" t="s">
        <v>20</v>
      </c>
    </row>
    <row r="25" spans="1:1" ht="15" customHeight="1" x14ac:dyDescent="0.2">
      <c r="A25" s="2"/>
    </row>
    <row r="26" spans="1:1" ht="15" customHeight="1" x14ac:dyDescent="0.2">
      <c r="A26" s="3" t="s">
        <v>21</v>
      </c>
    </row>
    <row r="27" spans="1:1" ht="15" customHeight="1" x14ac:dyDescent="0.2">
      <c r="A27" s="2" t="s">
        <v>22</v>
      </c>
    </row>
    <row r="28" spans="1:1" ht="15" customHeight="1" x14ac:dyDescent="0.2">
      <c r="A28" s="2" t="s">
        <v>23</v>
      </c>
    </row>
    <row r="29" spans="1:1" ht="15" customHeight="1" x14ac:dyDescent="0.2">
      <c r="A29" s="2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S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2" width="16" customWidth="1"/>
    <col min="3" max="3" width="10" customWidth="1"/>
    <col min="4" max="4" width="14" customWidth="1"/>
    <col min="5" max="5" width="22" customWidth="1"/>
    <col min="6" max="7" width="16" customWidth="1"/>
    <col min="8" max="8" width="14" customWidth="1"/>
    <col min="9" max="9" width="12" customWidth="1"/>
    <col min="10" max="11" width="16" customWidth="1"/>
    <col min="12" max="12" width="18" customWidth="1"/>
    <col min="13" max="13" width="16" customWidth="1"/>
    <col min="14" max="14" width="18" customWidth="1"/>
    <col min="15" max="15" width="16" customWidth="1"/>
    <col min="16" max="16" width="24" customWidth="1"/>
    <col min="17" max="17" width="14" customWidth="1"/>
    <col min="18" max="18" width="12" customWidth="1"/>
    <col min="19" max="19" width="30" customWidth="1"/>
  </cols>
  <sheetData>
    <row r="1" spans="1:19" ht="30" customHeight="1" x14ac:dyDescent="0.2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</row>
    <row r="2" spans="1:19" ht="15" customHeight="1" x14ac:dyDescent="0.2">
      <c r="A2" s="5" t="s">
        <v>44</v>
      </c>
      <c r="B2" s="5" t="s">
        <v>45</v>
      </c>
      <c r="C2" s="5">
        <v>2021</v>
      </c>
      <c r="D2" s="5" t="s">
        <v>46</v>
      </c>
      <c r="E2" s="5" t="s">
        <v>47</v>
      </c>
      <c r="F2" s="5">
        <v>2014</v>
      </c>
      <c r="G2" s="5">
        <v>2018</v>
      </c>
      <c r="H2" s="5" t="b">
        <f>TRUE()</f>
        <v>1</v>
      </c>
      <c r="I2" s="5">
        <v>1</v>
      </c>
      <c r="J2" s="5" t="s">
        <v>48</v>
      </c>
      <c r="K2" s="5"/>
      <c r="L2" s="5"/>
      <c r="M2" s="5"/>
      <c r="N2" s="5"/>
      <c r="O2" s="5"/>
      <c r="P2" s="5"/>
      <c r="Q2" s="5"/>
      <c r="R2" s="5"/>
      <c r="S2" s="5"/>
    </row>
    <row r="3" spans="1:19" ht="15" customHeight="1" x14ac:dyDescent="0.2">
      <c r="A3" s="5" t="s">
        <v>49</v>
      </c>
      <c r="B3" s="5" t="s">
        <v>50</v>
      </c>
      <c r="C3" s="5">
        <v>2020</v>
      </c>
      <c r="D3" s="5" t="s">
        <v>51</v>
      </c>
      <c r="E3" s="5" t="s">
        <v>47</v>
      </c>
      <c r="F3" s="5">
        <v>2014</v>
      </c>
      <c r="G3" s="5">
        <v>2016</v>
      </c>
      <c r="H3" s="5" t="b">
        <f>TRUE()</f>
        <v>1</v>
      </c>
      <c r="I3" s="5">
        <v>1</v>
      </c>
      <c r="J3" s="5" t="s">
        <v>48</v>
      </c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 x14ac:dyDescent="0.2">
      <c r="A4" s="5" t="s">
        <v>52</v>
      </c>
      <c r="B4" s="5" t="s">
        <v>53</v>
      </c>
      <c r="C4" s="5">
        <v>2017</v>
      </c>
      <c r="D4" s="5" t="s">
        <v>54</v>
      </c>
      <c r="E4" s="5" t="s">
        <v>55</v>
      </c>
      <c r="F4" s="5">
        <v>2003</v>
      </c>
      <c r="G4" s="5">
        <v>2015</v>
      </c>
      <c r="H4" s="5" t="b">
        <f>TRUE()</f>
        <v>1</v>
      </c>
      <c r="I4" s="5">
        <v>1</v>
      </c>
      <c r="J4" s="5" t="s">
        <v>48</v>
      </c>
      <c r="K4" s="5"/>
      <c r="L4" s="5"/>
      <c r="M4" s="5"/>
      <c r="N4" s="5"/>
      <c r="O4" s="5"/>
      <c r="P4" s="5"/>
      <c r="Q4" s="5"/>
      <c r="R4" s="5"/>
      <c r="S4" s="5"/>
    </row>
    <row r="5" spans="1:19" ht="15" customHeight="1" x14ac:dyDescent="0.2">
      <c r="A5" s="5" t="s">
        <v>56</v>
      </c>
      <c r="B5" s="5" t="s">
        <v>57</v>
      </c>
      <c r="C5" s="5">
        <v>2025</v>
      </c>
      <c r="D5" s="5" t="s">
        <v>58</v>
      </c>
      <c r="E5" s="5" t="s">
        <v>47</v>
      </c>
      <c r="F5" s="5">
        <v>2017</v>
      </c>
      <c r="G5" s="5">
        <v>2024</v>
      </c>
      <c r="H5" s="5" t="b">
        <f>FALSE()</f>
        <v>0</v>
      </c>
      <c r="I5" s="5">
        <v>4</v>
      </c>
      <c r="J5" s="5" t="s">
        <v>48</v>
      </c>
      <c r="K5" s="5"/>
      <c r="L5" s="5"/>
      <c r="M5" s="5"/>
      <c r="N5" s="5"/>
      <c r="O5" s="5"/>
      <c r="P5" s="5"/>
      <c r="Q5" s="5"/>
      <c r="R5" s="5"/>
      <c r="S5" s="5"/>
    </row>
    <row r="6" spans="1:19" ht="15" customHeight="1" x14ac:dyDescent="0.2">
      <c r="A6" s="5" t="s">
        <v>59</v>
      </c>
      <c r="B6" s="5" t="s">
        <v>60</v>
      </c>
      <c r="C6" s="5">
        <v>2012</v>
      </c>
      <c r="D6" s="5" t="s">
        <v>61</v>
      </c>
      <c r="E6" s="5" t="s">
        <v>47</v>
      </c>
      <c r="F6" s="5">
        <v>2007</v>
      </c>
      <c r="G6" s="5">
        <v>2010</v>
      </c>
      <c r="H6" s="5" t="b">
        <f>TRUE()</f>
        <v>1</v>
      </c>
      <c r="I6" s="5">
        <v>1</v>
      </c>
      <c r="J6" s="5" t="s">
        <v>62</v>
      </c>
      <c r="K6" s="5"/>
      <c r="L6" s="5"/>
      <c r="M6" s="5"/>
      <c r="N6" s="5"/>
      <c r="O6" s="5"/>
      <c r="P6" s="5"/>
      <c r="Q6" s="5"/>
      <c r="R6" s="5"/>
      <c r="S6" s="5"/>
    </row>
    <row r="7" spans="1:19" ht="15" customHeight="1" x14ac:dyDescent="0.2">
      <c r="A7" s="5" t="s">
        <v>63</v>
      </c>
      <c r="B7" s="5" t="s">
        <v>64</v>
      </c>
      <c r="C7" s="5">
        <v>2025</v>
      </c>
      <c r="D7" s="5" t="s">
        <v>65</v>
      </c>
      <c r="E7" s="5" t="s">
        <v>47</v>
      </c>
      <c r="F7" s="5">
        <v>2000</v>
      </c>
      <c r="G7" s="5">
        <v>2019</v>
      </c>
      <c r="H7" s="5" t="b">
        <f>FALSE()</f>
        <v>0</v>
      </c>
      <c r="I7" s="5"/>
      <c r="J7" s="5" t="s">
        <v>48</v>
      </c>
      <c r="K7" s="5"/>
      <c r="L7" s="5"/>
      <c r="M7" s="5"/>
      <c r="N7" s="5"/>
      <c r="O7" s="5"/>
      <c r="P7" s="5"/>
      <c r="Q7" s="5"/>
      <c r="R7" s="5"/>
      <c r="S7" s="5"/>
    </row>
    <row r="8" spans="1:19" ht="15" customHeight="1" x14ac:dyDescent="0.2">
      <c r="A8" s="5" t="s">
        <v>66</v>
      </c>
      <c r="B8" s="5" t="s">
        <v>67</v>
      </c>
      <c r="C8" s="5">
        <v>2023</v>
      </c>
      <c r="D8" s="5" t="s">
        <v>51</v>
      </c>
      <c r="E8" s="5" t="s">
        <v>47</v>
      </c>
      <c r="F8" s="5">
        <v>2016</v>
      </c>
      <c r="G8" s="5">
        <v>2020</v>
      </c>
      <c r="H8" s="5" t="b">
        <f>TRUE()</f>
        <v>1</v>
      </c>
      <c r="I8" s="5">
        <v>1</v>
      </c>
      <c r="J8" s="5" t="s">
        <v>62</v>
      </c>
      <c r="K8" s="5"/>
      <c r="L8" s="5"/>
      <c r="M8" s="5"/>
      <c r="N8" s="5"/>
      <c r="O8" s="5"/>
      <c r="P8" s="5"/>
      <c r="Q8" s="5"/>
      <c r="R8" s="5"/>
      <c r="S8" s="5"/>
    </row>
    <row r="9" spans="1:19" ht="15" customHeight="1" x14ac:dyDescent="0.2">
      <c r="A9" s="5" t="s">
        <v>68</v>
      </c>
      <c r="B9" s="5" t="s">
        <v>69</v>
      </c>
      <c r="C9" s="5">
        <v>2020</v>
      </c>
      <c r="D9" s="5" t="s">
        <v>70</v>
      </c>
      <c r="E9" s="5" t="s">
        <v>47</v>
      </c>
      <c r="F9" s="5">
        <v>2014</v>
      </c>
      <c r="G9" s="5">
        <v>2017</v>
      </c>
      <c r="H9" s="5" t="b">
        <f>TRUE()</f>
        <v>1</v>
      </c>
      <c r="I9" s="5">
        <v>1</v>
      </c>
      <c r="J9" s="5" t="s">
        <v>48</v>
      </c>
      <c r="K9" s="5"/>
      <c r="L9" s="5"/>
      <c r="M9" s="5"/>
      <c r="N9" s="5"/>
      <c r="O9" s="5"/>
      <c r="P9" s="5"/>
      <c r="Q9" s="5"/>
      <c r="R9" s="5"/>
      <c r="S9" s="5" t="s">
        <v>71</v>
      </c>
    </row>
    <row r="10" spans="1:19" ht="23.25" customHeight="1" x14ac:dyDescent="0.2">
      <c r="A10" s="5" t="s">
        <v>72</v>
      </c>
      <c r="B10" s="5" t="s">
        <v>73</v>
      </c>
      <c r="C10" s="5">
        <v>2019</v>
      </c>
      <c r="D10" s="5" t="s">
        <v>74</v>
      </c>
      <c r="E10" s="5" t="s">
        <v>47</v>
      </c>
      <c r="F10" s="5">
        <v>2013</v>
      </c>
      <c r="G10" s="5">
        <v>2015</v>
      </c>
      <c r="H10" s="5" t="b">
        <f>TRUE()</f>
        <v>1</v>
      </c>
      <c r="I10" s="5">
        <v>1</v>
      </c>
      <c r="J10" s="5" t="s">
        <v>62</v>
      </c>
      <c r="K10" s="5"/>
      <c r="L10" s="5"/>
      <c r="M10" s="5"/>
      <c r="N10" s="5"/>
      <c r="O10" s="5"/>
      <c r="P10" s="5"/>
      <c r="Q10" s="5"/>
      <c r="R10" s="5"/>
      <c r="S10" s="5"/>
    </row>
    <row r="11" spans="1:19" ht="15" customHeight="1" x14ac:dyDescent="0.2">
      <c r="A11" s="5" t="s">
        <v>75</v>
      </c>
      <c r="B11" s="5" t="s">
        <v>76</v>
      </c>
      <c r="C11" s="5">
        <v>2025</v>
      </c>
      <c r="D11" s="5" t="s">
        <v>54</v>
      </c>
      <c r="E11" s="5" t="s">
        <v>47</v>
      </c>
      <c r="F11" s="5">
        <v>1991</v>
      </c>
      <c r="G11" s="5">
        <v>2019</v>
      </c>
      <c r="H11" s="5" t="b">
        <f>TRUE()</f>
        <v>1</v>
      </c>
      <c r="I11" s="5">
        <v>1</v>
      </c>
      <c r="J11" s="5" t="s">
        <v>62</v>
      </c>
      <c r="K11" s="5"/>
      <c r="L11" s="5"/>
      <c r="M11" s="5"/>
      <c r="N11" s="5"/>
      <c r="O11" s="5"/>
      <c r="P11" s="5"/>
      <c r="Q11" s="5"/>
      <c r="R11" s="5"/>
      <c r="S11" s="5"/>
    </row>
    <row r="12" spans="1:19" ht="15" customHeight="1" x14ac:dyDescent="0.2">
      <c r="A12" s="5" t="s">
        <v>77</v>
      </c>
      <c r="B12" s="5" t="s">
        <v>78</v>
      </c>
      <c r="C12" s="5">
        <v>2019</v>
      </c>
      <c r="D12" s="5" t="s">
        <v>79</v>
      </c>
      <c r="E12" s="5" t="s">
        <v>55</v>
      </c>
      <c r="F12" s="5"/>
      <c r="G12" s="5"/>
      <c r="H12" s="5" t="b">
        <f>TRUE()</f>
        <v>1</v>
      </c>
      <c r="I12" s="5">
        <v>1</v>
      </c>
      <c r="J12" s="5" t="s">
        <v>48</v>
      </c>
      <c r="K12" s="5"/>
      <c r="L12" s="5"/>
      <c r="M12" s="5"/>
      <c r="N12" s="5"/>
      <c r="O12" s="5"/>
      <c r="P12" s="5"/>
      <c r="Q12" s="5"/>
      <c r="R12" s="5"/>
      <c r="S12" s="5" t="s">
        <v>80</v>
      </c>
    </row>
    <row r="13" spans="1:19" ht="15" customHeight="1" x14ac:dyDescent="0.2">
      <c r="A13" s="5" t="s">
        <v>81</v>
      </c>
      <c r="B13" s="5" t="s">
        <v>82</v>
      </c>
      <c r="C13" s="5">
        <v>2019</v>
      </c>
      <c r="D13" s="5" t="s">
        <v>79</v>
      </c>
      <c r="E13" s="5" t="s">
        <v>55</v>
      </c>
      <c r="F13" s="5">
        <v>2012</v>
      </c>
      <c r="G13" s="5">
        <v>2017</v>
      </c>
      <c r="H13" s="5" t="b">
        <f>FALSE()</f>
        <v>0</v>
      </c>
      <c r="I13" s="5">
        <v>3</v>
      </c>
      <c r="J13" s="5" t="s">
        <v>48</v>
      </c>
      <c r="K13" s="5"/>
      <c r="L13" s="5"/>
      <c r="M13" s="5"/>
      <c r="N13" s="5"/>
      <c r="O13" s="5"/>
      <c r="P13" s="5"/>
      <c r="Q13" s="5"/>
      <c r="R13" s="5"/>
      <c r="S13" s="5"/>
    </row>
    <row r="14" spans="1:19" ht="15" customHeight="1" x14ac:dyDescent="0.2">
      <c r="A14" s="5" t="s">
        <v>83</v>
      </c>
      <c r="B14" s="5" t="s">
        <v>84</v>
      </c>
      <c r="C14" s="5">
        <v>2021</v>
      </c>
      <c r="D14" s="5" t="s">
        <v>85</v>
      </c>
      <c r="E14" s="5" t="s">
        <v>47</v>
      </c>
      <c r="F14" s="5">
        <v>2017</v>
      </c>
      <c r="G14" s="5">
        <v>2018</v>
      </c>
      <c r="H14" s="5" t="b">
        <f>TRUE()</f>
        <v>1</v>
      </c>
      <c r="I14" s="5">
        <v>1</v>
      </c>
      <c r="J14" s="5" t="s">
        <v>62</v>
      </c>
      <c r="K14" s="5"/>
      <c r="L14" s="5"/>
      <c r="M14" s="5"/>
      <c r="N14" s="5"/>
      <c r="O14" s="5"/>
      <c r="P14" s="5"/>
      <c r="Q14" s="5"/>
      <c r="R14" s="5"/>
      <c r="S14" s="5"/>
    </row>
    <row r="15" spans="1:19" ht="15" customHeight="1" x14ac:dyDescent="0.2">
      <c r="A15" s="5" t="s">
        <v>86</v>
      </c>
      <c r="B15" s="5" t="s">
        <v>87</v>
      </c>
      <c r="C15" s="5">
        <v>2013</v>
      </c>
      <c r="D15" s="5" t="s">
        <v>46</v>
      </c>
      <c r="E15" s="5" t="s">
        <v>55</v>
      </c>
      <c r="F15" s="5">
        <v>2009</v>
      </c>
      <c r="G15" s="5">
        <v>2010</v>
      </c>
      <c r="H15" s="5" t="b">
        <f>TRUE()</f>
        <v>1</v>
      </c>
      <c r="I15" s="5">
        <v>1</v>
      </c>
      <c r="J15" s="5" t="s">
        <v>62</v>
      </c>
      <c r="K15" s="5"/>
      <c r="L15" s="5"/>
      <c r="M15" s="5"/>
      <c r="N15" s="5"/>
      <c r="O15" s="5"/>
      <c r="P15" s="5"/>
      <c r="Q15" s="5"/>
      <c r="R15" s="5"/>
      <c r="S15" s="5"/>
    </row>
    <row r="16" spans="1:19" ht="34.5" customHeight="1" x14ac:dyDescent="0.2">
      <c r="A16" s="5" t="s">
        <v>88</v>
      </c>
      <c r="B16" s="5" t="s">
        <v>89</v>
      </c>
      <c r="C16" s="5">
        <v>2023</v>
      </c>
      <c r="D16" s="5" t="s">
        <v>90</v>
      </c>
      <c r="E16" s="5" t="s">
        <v>47</v>
      </c>
      <c r="F16" s="5">
        <v>2015</v>
      </c>
      <c r="G16" s="5">
        <v>2021</v>
      </c>
      <c r="H16" s="5" t="b">
        <f>TRUE()</f>
        <v>1</v>
      </c>
      <c r="I16" s="5">
        <v>1</v>
      </c>
      <c r="J16" s="5" t="s">
        <v>62</v>
      </c>
      <c r="K16" s="5"/>
      <c r="L16" s="5"/>
      <c r="M16" s="5"/>
      <c r="N16" s="5"/>
      <c r="O16" s="5"/>
      <c r="P16" s="5"/>
      <c r="Q16" s="5"/>
      <c r="R16" s="5"/>
      <c r="S16" s="5" t="s">
        <v>91</v>
      </c>
    </row>
    <row r="17" spans="1:19" ht="15" customHeight="1" x14ac:dyDescent="0.2">
      <c r="A17" s="5" t="s">
        <v>92</v>
      </c>
      <c r="B17" s="5" t="s">
        <v>93</v>
      </c>
      <c r="C17" s="5">
        <v>2006</v>
      </c>
      <c r="D17" s="5" t="s">
        <v>54</v>
      </c>
      <c r="E17" s="5" t="s">
        <v>47</v>
      </c>
      <c r="F17" s="5" t="s">
        <v>94</v>
      </c>
      <c r="G17" s="5" t="s">
        <v>95</v>
      </c>
      <c r="H17" s="5" t="b">
        <f>TRUE()</f>
        <v>1</v>
      </c>
      <c r="I17" s="5">
        <v>1</v>
      </c>
      <c r="J17" s="5" t="s">
        <v>62</v>
      </c>
      <c r="K17" s="5"/>
      <c r="L17" s="5"/>
      <c r="M17" s="5"/>
      <c r="N17" s="5"/>
      <c r="O17" s="5"/>
      <c r="P17" s="5"/>
      <c r="Q17" s="5"/>
      <c r="R17" s="5"/>
      <c r="S17" s="5"/>
    </row>
    <row r="18" spans="1:19" ht="23.25" customHeight="1" x14ac:dyDescent="0.2">
      <c r="A18" s="5" t="s">
        <v>96</v>
      </c>
      <c r="B18" s="5" t="s">
        <v>97</v>
      </c>
      <c r="C18" s="5">
        <v>2025</v>
      </c>
      <c r="D18" s="5" t="s">
        <v>79</v>
      </c>
      <c r="E18" s="5" t="s">
        <v>47</v>
      </c>
      <c r="F18" s="5" t="s">
        <v>98</v>
      </c>
      <c r="G18" s="5" t="s">
        <v>99</v>
      </c>
      <c r="H18" s="5" t="b">
        <f>FALSE()</f>
        <v>0</v>
      </c>
      <c r="I18" s="5">
        <v>3</v>
      </c>
      <c r="J18" s="5" t="s">
        <v>62</v>
      </c>
      <c r="K18" s="5"/>
      <c r="L18" s="5"/>
      <c r="M18" s="5"/>
      <c r="N18" s="5"/>
      <c r="O18" s="5"/>
      <c r="P18" s="5"/>
      <c r="Q18" s="5"/>
      <c r="R18" s="5"/>
      <c r="S18" s="5"/>
    </row>
    <row r="19" spans="1:19" ht="15" customHeight="1" x14ac:dyDescent="0.2">
      <c r="A19" s="5" t="s">
        <v>100</v>
      </c>
      <c r="B19" s="5" t="s">
        <v>101</v>
      </c>
      <c r="C19" s="5">
        <v>2022</v>
      </c>
      <c r="D19" s="5" t="s">
        <v>102</v>
      </c>
      <c r="E19" s="5" t="s">
        <v>47</v>
      </c>
      <c r="F19" s="5" t="s">
        <v>103</v>
      </c>
      <c r="G19" s="5" t="s">
        <v>104</v>
      </c>
      <c r="H19" s="5" t="b">
        <f>TRUE()</f>
        <v>1</v>
      </c>
      <c r="I19" s="5">
        <v>1</v>
      </c>
      <c r="J19" s="5" t="s">
        <v>62</v>
      </c>
      <c r="K19" s="5"/>
      <c r="L19" s="5"/>
      <c r="M19" s="5"/>
      <c r="N19" s="5"/>
      <c r="O19" s="5"/>
      <c r="P19" s="5"/>
      <c r="Q19" s="5"/>
      <c r="R19" s="5"/>
      <c r="S19" s="5"/>
    </row>
    <row r="20" spans="1:19" ht="15" customHeight="1" x14ac:dyDescent="0.2">
      <c r="A20" s="5" t="s">
        <v>105</v>
      </c>
      <c r="B20" s="5" t="s">
        <v>106</v>
      </c>
      <c r="C20" s="5">
        <v>2024</v>
      </c>
      <c r="D20" s="5" t="s">
        <v>107</v>
      </c>
      <c r="E20" s="5" t="s">
        <v>47</v>
      </c>
      <c r="F20" s="5"/>
      <c r="G20" s="5"/>
      <c r="H20" s="5" t="b">
        <f>TRUE()</f>
        <v>1</v>
      </c>
      <c r="I20" s="5">
        <v>1</v>
      </c>
      <c r="J20" s="5" t="s">
        <v>48</v>
      </c>
      <c r="K20" s="5"/>
      <c r="L20" s="5"/>
      <c r="M20" s="5"/>
      <c r="N20" s="5"/>
      <c r="O20" s="5"/>
      <c r="P20" s="5"/>
      <c r="Q20" s="5"/>
      <c r="R20" s="5"/>
      <c r="S20" s="5"/>
    </row>
    <row r="21" spans="1:19" ht="15" customHeight="1" x14ac:dyDescent="0.2">
      <c r="A21" s="5" t="s">
        <v>108</v>
      </c>
      <c r="B21" s="5" t="s">
        <v>109</v>
      </c>
      <c r="C21" s="5">
        <v>2021</v>
      </c>
      <c r="D21" s="5" t="s">
        <v>51</v>
      </c>
      <c r="E21" s="5" t="s">
        <v>47</v>
      </c>
      <c r="F21" s="5" t="s">
        <v>110</v>
      </c>
      <c r="G21" s="5" t="s">
        <v>111</v>
      </c>
      <c r="H21" s="5" t="b">
        <f>TRUE()</f>
        <v>1</v>
      </c>
      <c r="I21" s="5">
        <v>1</v>
      </c>
      <c r="J21" s="5" t="s">
        <v>48</v>
      </c>
      <c r="K21" s="5"/>
      <c r="L21" s="5"/>
      <c r="M21" s="5"/>
      <c r="N21" s="5"/>
      <c r="O21" s="5"/>
      <c r="P21" s="5"/>
      <c r="Q21" s="5"/>
      <c r="R21" s="5"/>
      <c r="S21" s="5"/>
    </row>
    <row r="22" spans="1:19" ht="1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ht="1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ht="1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1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1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ht="1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ht="1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1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1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ht="1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ht="1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ht="1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ht="1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ht="1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ht="1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ht="1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ht="1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ht="1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ht="1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ht="1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ht="1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ht="1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ht="1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ht="1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ht="1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ht="1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ht="1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ht="1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ht="1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</sheetData>
  <dataValidations count="4">
    <dataValidation type="list" allowBlank="1" sqref="E2:E52" xr:uid="{00000000-0002-0000-0100-000000000000}">
      <formula1>"prospective_cohort,retrospective_cohort,case_control"</formula1>
      <formula2>0</formula2>
    </dataValidation>
    <dataValidation type="list" allowBlank="1" sqref="H2:H52" xr:uid="{00000000-0002-0000-0100-000001000000}">
      <formula1>"TRUE,FALSE"</formula1>
      <formula2>0</formula2>
    </dataValidation>
    <dataValidation type="list" allowBlank="1" sqref="J2:J52" xr:uid="{00000000-0002-0000-0100-000002000000}">
      <formula1>"public,industry,mixed,NR"</formula1>
      <formula2>0</formula2>
    </dataValidation>
    <dataValidation type="list" allowBlank="1" sqref="Q2:Q52" xr:uid="{00000000-0002-0000-0100-000003000000}">
      <formula1>"low,moderate,high,critical"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W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6" customWidth="1"/>
    <col min="2" max="2" width="12" customWidth="1"/>
    <col min="3" max="5" width="10" customWidth="1"/>
    <col min="6" max="8" width="12" customWidth="1"/>
    <col min="9" max="9" width="10" customWidth="1"/>
    <col min="10" max="11" width="18" customWidth="1"/>
    <col min="12" max="12" width="10" customWidth="1"/>
    <col min="13" max="14" width="18" customWidth="1"/>
    <col min="15" max="15" width="10" customWidth="1"/>
    <col min="16" max="16" width="20" customWidth="1"/>
    <col min="17" max="17" width="18" customWidth="1"/>
    <col min="18" max="18" width="20" customWidth="1"/>
    <col min="19" max="19" width="22" customWidth="1"/>
    <col min="20" max="20" width="24" customWidth="1"/>
    <col min="21" max="22" width="20" customWidth="1"/>
    <col min="23" max="23" width="30" customWidth="1"/>
  </cols>
  <sheetData>
    <row r="1" spans="1:23" ht="30" customHeight="1" x14ac:dyDescent="0.2">
      <c r="A1" s="4" t="s">
        <v>25</v>
      </c>
      <c r="B1" s="4" t="s">
        <v>112</v>
      </c>
      <c r="C1" s="4" t="s">
        <v>113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118</v>
      </c>
      <c r="I1" s="4" t="s">
        <v>119</v>
      </c>
      <c r="J1" s="4" t="s">
        <v>120</v>
      </c>
      <c r="K1" s="4" t="s">
        <v>121</v>
      </c>
      <c r="L1" s="4" t="s">
        <v>122</v>
      </c>
      <c r="M1" s="4" t="s">
        <v>123</v>
      </c>
      <c r="N1" s="4" t="s">
        <v>124</v>
      </c>
      <c r="O1" s="4" t="s">
        <v>125</v>
      </c>
      <c r="P1" s="4" t="s">
        <v>126</v>
      </c>
      <c r="Q1" s="4" t="s">
        <v>127</v>
      </c>
      <c r="R1" s="4" t="s">
        <v>128</v>
      </c>
      <c r="S1" s="4" t="s">
        <v>129</v>
      </c>
      <c r="T1" s="4" t="s">
        <v>130</v>
      </c>
      <c r="U1" s="4" t="s">
        <v>131</v>
      </c>
      <c r="V1" s="4" t="s">
        <v>132</v>
      </c>
      <c r="W1" s="4" t="s">
        <v>43</v>
      </c>
    </row>
    <row r="2" spans="1:23" ht="34.5" customHeight="1" x14ac:dyDescent="0.2">
      <c r="A2" s="5" t="s">
        <v>44</v>
      </c>
      <c r="B2" s="5" t="s">
        <v>133</v>
      </c>
      <c r="C2" s="5">
        <v>803</v>
      </c>
      <c r="D2" s="5"/>
      <c r="E2" s="5"/>
      <c r="F2" s="5">
        <v>67</v>
      </c>
      <c r="G2" s="5">
        <v>59</v>
      </c>
      <c r="H2" s="5">
        <v>75</v>
      </c>
      <c r="I2" s="5">
        <v>59</v>
      </c>
      <c r="J2" s="5" t="s">
        <v>134</v>
      </c>
      <c r="K2" s="5" t="s">
        <v>135</v>
      </c>
      <c r="L2" s="5"/>
      <c r="M2" s="5" t="s">
        <v>136</v>
      </c>
      <c r="N2" s="5" t="s">
        <v>136</v>
      </c>
      <c r="O2" s="5">
        <v>49.4</v>
      </c>
      <c r="P2" s="5" t="s">
        <v>137</v>
      </c>
      <c r="Q2" s="5"/>
      <c r="R2" s="5">
        <v>8</v>
      </c>
      <c r="S2" s="5"/>
      <c r="T2" s="5"/>
      <c r="U2" s="5" t="s">
        <v>138</v>
      </c>
      <c r="V2" s="5"/>
      <c r="W2" s="5"/>
    </row>
    <row r="3" spans="1:23" ht="15" customHeight="1" x14ac:dyDescent="0.2">
      <c r="A3" s="5" t="s">
        <v>49</v>
      </c>
      <c r="B3" s="5" t="s">
        <v>133</v>
      </c>
      <c r="C3" s="5">
        <v>167</v>
      </c>
      <c r="D3" s="5">
        <v>51.2</v>
      </c>
      <c r="E3" s="5"/>
      <c r="F3" s="5"/>
      <c r="G3" s="5">
        <v>20</v>
      </c>
      <c r="H3" s="5">
        <v>88</v>
      </c>
      <c r="I3" s="5">
        <v>43.1</v>
      </c>
      <c r="J3" s="5" t="s">
        <v>134</v>
      </c>
      <c r="K3" s="5" t="s">
        <v>139</v>
      </c>
      <c r="L3" s="5"/>
      <c r="M3" s="5" t="s">
        <v>136</v>
      </c>
      <c r="N3" s="5" t="s">
        <v>62</v>
      </c>
      <c r="O3" s="5">
        <v>6.6</v>
      </c>
      <c r="P3" s="5" t="s">
        <v>140</v>
      </c>
      <c r="Q3" s="5"/>
      <c r="R3" s="5"/>
      <c r="S3" s="5">
        <v>88</v>
      </c>
      <c r="T3" s="5"/>
      <c r="U3" s="5" t="s">
        <v>138</v>
      </c>
      <c r="V3" s="5"/>
      <c r="W3" s="5"/>
    </row>
    <row r="4" spans="1:23" ht="23.25" customHeight="1" x14ac:dyDescent="0.2">
      <c r="A4" s="5" t="s">
        <v>52</v>
      </c>
      <c r="B4" s="5" t="s">
        <v>133</v>
      </c>
      <c r="C4" s="5">
        <v>278</v>
      </c>
      <c r="D4" s="5"/>
      <c r="E4" s="5"/>
      <c r="F4" s="5">
        <v>62</v>
      </c>
      <c r="G4" s="5">
        <v>46</v>
      </c>
      <c r="H4" s="5">
        <v>79</v>
      </c>
      <c r="I4" s="5">
        <v>59</v>
      </c>
      <c r="J4" s="5" t="s">
        <v>141</v>
      </c>
      <c r="K4" s="5" t="s">
        <v>142</v>
      </c>
      <c r="L4" s="5"/>
      <c r="M4" s="5" t="s">
        <v>143</v>
      </c>
      <c r="N4" s="5" t="s">
        <v>144</v>
      </c>
      <c r="O4" s="5">
        <v>31.3</v>
      </c>
      <c r="P4" s="5" t="s">
        <v>137</v>
      </c>
      <c r="Q4" s="5"/>
      <c r="R4" s="5">
        <v>3</v>
      </c>
      <c r="S4" s="5">
        <v>93</v>
      </c>
      <c r="T4" s="5"/>
      <c r="U4" s="5" t="s">
        <v>138</v>
      </c>
      <c r="V4" s="5"/>
      <c r="W4" s="5"/>
    </row>
    <row r="5" spans="1:23" ht="34.5" customHeight="1" x14ac:dyDescent="0.2">
      <c r="A5" s="5" t="s">
        <v>56</v>
      </c>
      <c r="B5" s="5" t="s">
        <v>133</v>
      </c>
      <c r="C5" s="5">
        <v>810</v>
      </c>
      <c r="D5" s="5"/>
      <c r="E5" s="5"/>
      <c r="F5" s="5"/>
      <c r="G5" s="5"/>
      <c r="H5" s="5"/>
      <c r="I5" s="5"/>
      <c r="J5" s="5" t="s">
        <v>141</v>
      </c>
      <c r="K5" s="5" t="s">
        <v>145</v>
      </c>
      <c r="L5" s="5"/>
      <c r="M5" s="5" t="s">
        <v>146</v>
      </c>
      <c r="N5" s="5" t="s">
        <v>144</v>
      </c>
      <c r="O5" s="5"/>
      <c r="P5" s="5"/>
      <c r="Q5" s="5"/>
      <c r="R5" s="5"/>
      <c r="S5" s="5"/>
      <c r="T5" s="5"/>
      <c r="U5" s="5" t="s">
        <v>138</v>
      </c>
      <c r="V5" s="5"/>
      <c r="W5" s="5"/>
    </row>
    <row r="6" spans="1:23" ht="23.25" customHeight="1" x14ac:dyDescent="0.2">
      <c r="A6" s="5" t="s">
        <v>59</v>
      </c>
      <c r="B6" s="5" t="s">
        <v>133</v>
      </c>
      <c r="C6" s="5">
        <v>167</v>
      </c>
      <c r="D6" s="5"/>
      <c r="E6" s="5"/>
      <c r="F6" s="5">
        <v>72</v>
      </c>
      <c r="G6" s="5">
        <v>18</v>
      </c>
      <c r="H6" s="5">
        <v>95</v>
      </c>
      <c r="I6" s="5">
        <v>59.9</v>
      </c>
      <c r="J6" s="5" t="s">
        <v>141</v>
      </c>
      <c r="K6" s="5" t="s">
        <v>147</v>
      </c>
      <c r="L6" s="5">
        <v>32.9</v>
      </c>
      <c r="M6" s="5" t="s">
        <v>136</v>
      </c>
      <c r="N6" s="5" t="s">
        <v>136</v>
      </c>
      <c r="O6" s="5">
        <v>30.5</v>
      </c>
      <c r="P6" s="5" t="s">
        <v>140</v>
      </c>
      <c r="Q6" s="5"/>
      <c r="R6" s="5"/>
      <c r="S6" s="5"/>
      <c r="T6" s="5"/>
      <c r="U6" s="5" t="s">
        <v>138</v>
      </c>
      <c r="V6" s="5"/>
      <c r="W6" s="5"/>
    </row>
    <row r="7" spans="1:23" ht="23.25" customHeight="1" x14ac:dyDescent="0.2">
      <c r="A7" s="5" t="s">
        <v>63</v>
      </c>
      <c r="B7" s="5" t="s">
        <v>133</v>
      </c>
      <c r="C7" s="5">
        <v>84341</v>
      </c>
      <c r="D7" s="5"/>
      <c r="E7" s="5"/>
      <c r="F7" s="5">
        <v>65.599999999999994</v>
      </c>
      <c r="G7" s="5">
        <v>45.4</v>
      </c>
      <c r="H7" s="5">
        <v>78.099999999999994</v>
      </c>
      <c r="I7" s="5">
        <v>55.7</v>
      </c>
      <c r="J7" s="5" t="s">
        <v>136</v>
      </c>
      <c r="K7" s="5" t="s">
        <v>148</v>
      </c>
      <c r="L7" s="5"/>
      <c r="M7" s="5" t="s">
        <v>136</v>
      </c>
      <c r="N7" s="5" t="s">
        <v>62</v>
      </c>
      <c r="O7" s="5"/>
      <c r="P7" s="5" t="s">
        <v>140</v>
      </c>
      <c r="Q7" s="5"/>
      <c r="R7" s="5"/>
      <c r="S7" s="5"/>
      <c r="T7" s="5"/>
      <c r="U7" s="5" t="s">
        <v>149</v>
      </c>
      <c r="V7" s="5"/>
      <c r="W7" s="5"/>
    </row>
    <row r="8" spans="1:23" ht="23.25" customHeight="1" x14ac:dyDescent="0.2">
      <c r="A8" s="5" t="s">
        <v>66</v>
      </c>
      <c r="B8" s="5" t="s">
        <v>133</v>
      </c>
      <c r="C8" s="5">
        <v>148</v>
      </c>
      <c r="D8" s="5"/>
      <c r="E8" s="5"/>
      <c r="F8" s="5">
        <v>68</v>
      </c>
      <c r="G8" s="5">
        <v>60</v>
      </c>
      <c r="H8" s="5">
        <v>79</v>
      </c>
      <c r="I8" s="5">
        <v>66.2</v>
      </c>
      <c r="J8" s="5" t="s">
        <v>134</v>
      </c>
      <c r="K8" s="5" t="s">
        <v>150</v>
      </c>
      <c r="L8" s="5"/>
      <c r="M8" s="5" t="s">
        <v>136</v>
      </c>
      <c r="N8" s="5" t="s">
        <v>62</v>
      </c>
      <c r="O8" s="5">
        <v>28.6</v>
      </c>
      <c r="P8" s="5"/>
      <c r="Q8" s="5"/>
      <c r="R8" s="5"/>
      <c r="S8" s="5"/>
      <c r="T8" s="5"/>
      <c r="U8" s="5" t="s">
        <v>138</v>
      </c>
      <c r="V8" s="5"/>
      <c r="W8" s="5"/>
    </row>
    <row r="9" spans="1:23" ht="15" customHeight="1" x14ac:dyDescent="0.2">
      <c r="A9" s="5" t="s">
        <v>68</v>
      </c>
      <c r="B9" s="5" t="s">
        <v>133</v>
      </c>
      <c r="C9" s="5">
        <v>395</v>
      </c>
      <c r="D9" s="5"/>
      <c r="E9" s="5"/>
      <c r="F9" s="5">
        <v>58</v>
      </c>
      <c r="G9" s="5">
        <v>49</v>
      </c>
      <c r="H9" s="5">
        <v>64</v>
      </c>
      <c r="I9" s="5">
        <v>57</v>
      </c>
      <c r="J9" s="5" t="s">
        <v>136</v>
      </c>
      <c r="K9" s="5" t="s">
        <v>151</v>
      </c>
      <c r="L9" s="5"/>
      <c r="M9" s="5" t="s">
        <v>136</v>
      </c>
      <c r="N9" s="5" t="s">
        <v>62</v>
      </c>
      <c r="O9" s="5"/>
      <c r="P9" s="5" t="s">
        <v>152</v>
      </c>
      <c r="Q9" s="5"/>
      <c r="R9" s="5">
        <v>6</v>
      </c>
      <c r="S9" s="5"/>
      <c r="T9" s="5"/>
      <c r="U9" s="5" t="s">
        <v>138</v>
      </c>
      <c r="V9" s="5"/>
      <c r="W9" s="5"/>
    </row>
    <row r="10" spans="1:23" ht="15" customHeight="1" x14ac:dyDescent="0.2">
      <c r="A10" s="5" t="s">
        <v>72</v>
      </c>
      <c r="B10" s="5" t="s">
        <v>133</v>
      </c>
      <c r="C10" s="5">
        <v>801</v>
      </c>
      <c r="D10" s="5">
        <v>65</v>
      </c>
      <c r="E10" s="5"/>
      <c r="F10" s="5"/>
      <c r="G10" s="5">
        <v>54</v>
      </c>
      <c r="H10" s="5">
        <v>73</v>
      </c>
      <c r="I10" s="5">
        <v>59.5</v>
      </c>
      <c r="J10" s="5" t="s">
        <v>136</v>
      </c>
      <c r="K10" s="5" t="s">
        <v>136</v>
      </c>
      <c r="L10" s="5"/>
      <c r="M10" s="5" t="s">
        <v>136</v>
      </c>
      <c r="N10" s="5" t="s">
        <v>62</v>
      </c>
      <c r="O10" s="5">
        <v>20.100000000000001</v>
      </c>
      <c r="P10" s="5" t="s">
        <v>153</v>
      </c>
      <c r="Q10" s="5"/>
      <c r="R10" s="5">
        <v>1</v>
      </c>
      <c r="S10" s="5"/>
      <c r="T10" s="5"/>
      <c r="U10" s="5" t="s">
        <v>138</v>
      </c>
      <c r="V10" s="5"/>
      <c r="W10" s="5"/>
    </row>
    <row r="11" spans="1:23" ht="23.25" customHeight="1" x14ac:dyDescent="0.2">
      <c r="A11" s="5" t="s">
        <v>75</v>
      </c>
      <c r="B11" s="5" t="s">
        <v>133</v>
      </c>
      <c r="C11" s="5">
        <v>1177</v>
      </c>
      <c r="D11" s="5"/>
      <c r="E11" s="5"/>
      <c r="F11" s="5"/>
      <c r="G11" s="5"/>
      <c r="H11" s="5"/>
      <c r="I11" s="5"/>
      <c r="J11" s="5" t="s">
        <v>134</v>
      </c>
      <c r="K11" s="5" t="s">
        <v>154</v>
      </c>
      <c r="L11" s="5"/>
      <c r="M11" s="5" t="s">
        <v>146</v>
      </c>
      <c r="N11" s="5" t="s">
        <v>62</v>
      </c>
      <c r="O11" s="5"/>
      <c r="P11" s="5"/>
      <c r="Q11" s="5"/>
      <c r="R11" s="5"/>
      <c r="S11" s="5"/>
      <c r="T11" s="5"/>
      <c r="U11" s="5" t="s">
        <v>138</v>
      </c>
      <c r="V11" s="5"/>
      <c r="W11" s="5"/>
    </row>
    <row r="12" spans="1:23" ht="23.25" customHeight="1" x14ac:dyDescent="0.2">
      <c r="A12" s="5" t="s">
        <v>77</v>
      </c>
      <c r="B12" s="5" t="s">
        <v>133</v>
      </c>
      <c r="C12" s="5">
        <v>263</v>
      </c>
      <c r="D12" s="5"/>
      <c r="E12" s="5"/>
      <c r="F12" s="5">
        <v>55</v>
      </c>
      <c r="G12" s="5">
        <v>43</v>
      </c>
      <c r="H12" s="5">
        <v>66</v>
      </c>
      <c r="I12" s="5">
        <v>59</v>
      </c>
      <c r="J12" s="5" t="s">
        <v>141</v>
      </c>
      <c r="K12" s="5" t="s">
        <v>147</v>
      </c>
      <c r="L12" s="5">
        <v>100</v>
      </c>
      <c r="M12" s="5" t="s">
        <v>136</v>
      </c>
      <c r="N12" s="5" t="s">
        <v>144</v>
      </c>
      <c r="O12" s="5">
        <v>100</v>
      </c>
      <c r="P12" s="5"/>
      <c r="Q12" s="5"/>
      <c r="R12" s="5"/>
      <c r="S12" s="5"/>
      <c r="T12" s="5"/>
      <c r="U12" s="5" t="s">
        <v>138</v>
      </c>
      <c r="V12" s="5"/>
      <c r="W12" s="5"/>
    </row>
    <row r="13" spans="1:23" ht="23.25" customHeight="1" x14ac:dyDescent="0.2">
      <c r="A13" s="5" t="s">
        <v>81</v>
      </c>
      <c r="B13" s="5" t="s">
        <v>133</v>
      </c>
      <c r="C13" s="5">
        <v>884</v>
      </c>
      <c r="D13" s="5">
        <v>57</v>
      </c>
      <c r="E13" s="5"/>
      <c r="F13" s="5"/>
      <c r="G13" s="5"/>
      <c r="H13" s="5"/>
      <c r="I13" s="5">
        <v>70</v>
      </c>
      <c r="J13" s="5" t="s">
        <v>141</v>
      </c>
      <c r="K13" s="5" t="s">
        <v>147</v>
      </c>
      <c r="L13" s="5">
        <v>33</v>
      </c>
      <c r="M13" s="5" t="s">
        <v>136</v>
      </c>
      <c r="N13" s="5" t="s">
        <v>136</v>
      </c>
      <c r="O13" s="5"/>
      <c r="P13" s="5" t="s">
        <v>155</v>
      </c>
      <c r="Q13" s="5"/>
      <c r="R13" s="5">
        <v>0</v>
      </c>
      <c r="S13" s="5">
        <v>72</v>
      </c>
      <c r="T13" s="5"/>
      <c r="U13" s="5" t="s">
        <v>156</v>
      </c>
      <c r="V13" s="5"/>
      <c r="W13" s="5"/>
    </row>
    <row r="14" spans="1:23" ht="15" customHeight="1" x14ac:dyDescent="0.2">
      <c r="A14" s="5" t="s">
        <v>83</v>
      </c>
      <c r="B14" s="5" t="s">
        <v>133</v>
      </c>
      <c r="C14" s="5">
        <v>101</v>
      </c>
      <c r="D14" s="5">
        <v>62</v>
      </c>
      <c r="E14" s="5"/>
      <c r="F14" s="5">
        <v>65</v>
      </c>
      <c r="G14" s="5">
        <v>61</v>
      </c>
      <c r="H14" s="5">
        <v>72</v>
      </c>
      <c r="I14" s="5">
        <v>54.5</v>
      </c>
      <c r="J14" s="5" t="s">
        <v>136</v>
      </c>
      <c r="K14" s="5" t="s">
        <v>157</v>
      </c>
      <c r="L14" s="5"/>
      <c r="M14" s="5" t="s">
        <v>136</v>
      </c>
      <c r="N14" s="5" t="s">
        <v>144</v>
      </c>
      <c r="O14" s="5">
        <v>100</v>
      </c>
      <c r="P14" s="5" t="s">
        <v>158</v>
      </c>
      <c r="Q14" s="5">
        <v>18.899999999999999</v>
      </c>
      <c r="R14" s="5">
        <v>21</v>
      </c>
      <c r="S14" s="5">
        <v>55</v>
      </c>
      <c r="T14" s="5"/>
      <c r="U14" s="5" t="s">
        <v>149</v>
      </c>
      <c r="V14" s="5"/>
      <c r="W14" s="5"/>
    </row>
    <row r="15" spans="1:23" ht="23.25" customHeight="1" x14ac:dyDescent="0.2">
      <c r="A15" s="5" t="s">
        <v>86</v>
      </c>
      <c r="B15" s="5" t="s">
        <v>133</v>
      </c>
      <c r="C15" s="5">
        <v>67</v>
      </c>
      <c r="D15" s="5"/>
      <c r="E15" s="5"/>
      <c r="F15" s="5"/>
      <c r="G15" s="5">
        <v>52</v>
      </c>
      <c r="H15" s="5">
        <v>74</v>
      </c>
      <c r="I15" s="5">
        <v>64.5</v>
      </c>
      <c r="J15" s="5" t="s">
        <v>141</v>
      </c>
      <c r="K15" s="5" t="s">
        <v>147</v>
      </c>
      <c r="L15" s="5">
        <v>100</v>
      </c>
      <c r="M15" s="5" t="s">
        <v>136</v>
      </c>
      <c r="N15" s="5" t="s">
        <v>136</v>
      </c>
      <c r="O15" s="5">
        <v>54.8</v>
      </c>
      <c r="P15" s="5" t="s">
        <v>155</v>
      </c>
      <c r="Q15" s="5"/>
      <c r="R15" s="5">
        <v>2</v>
      </c>
      <c r="S15" s="5"/>
      <c r="T15" s="5"/>
      <c r="U15" s="5" t="s">
        <v>149</v>
      </c>
      <c r="V15" s="5"/>
      <c r="W15" s="5"/>
    </row>
    <row r="16" spans="1:23" ht="23.25" customHeight="1" x14ac:dyDescent="0.2">
      <c r="A16" s="5" t="s">
        <v>88</v>
      </c>
      <c r="B16" s="5" t="s">
        <v>133</v>
      </c>
      <c r="C16" s="5">
        <v>779</v>
      </c>
      <c r="D16" s="5"/>
      <c r="E16" s="5"/>
      <c r="F16" s="5"/>
      <c r="G16" s="5"/>
      <c r="H16" s="5"/>
      <c r="I16" s="5">
        <v>71.3</v>
      </c>
      <c r="J16" s="5" t="s">
        <v>141</v>
      </c>
      <c r="K16" s="5" t="s">
        <v>147</v>
      </c>
      <c r="L16" s="5">
        <v>7.9</v>
      </c>
      <c r="M16" s="5" t="s">
        <v>136</v>
      </c>
      <c r="N16" s="5" t="s">
        <v>136</v>
      </c>
      <c r="O16" s="5"/>
      <c r="P16" s="5" t="s">
        <v>137</v>
      </c>
      <c r="Q16" s="5"/>
      <c r="R16" s="5"/>
      <c r="S16" s="5">
        <v>90.7</v>
      </c>
      <c r="T16" s="5"/>
      <c r="U16" s="5" t="s">
        <v>149</v>
      </c>
      <c r="V16" s="5"/>
      <c r="W16" s="5"/>
    </row>
    <row r="17" spans="1:23" ht="23.25" customHeight="1" x14ac:dyDescent="0.2">
      <c r="A17" s="5" t="s">
        <v>92</v>
      </c>
      <c r="B17" s="5" t="s">
        <v>133</v>
      </c>
      <c r="C17" s="5">
        <v>105</v>
      </c>
      <c r="D17" s="5">
        <v>65.900000000000006</v>
      </c>
      <c r="E17" s="5"/>
      <c r="F17" s="5"/>
      <c r="G17" s="5"/>
      <c r="H17" s="5"/>
      <c r="I17" s="5">
        <v>58.1</v>
      </c>
      <c r="J17" s="5" t="s">
        <v>141</v>
      </c>
      <c r="K17" s="5" t="s">
        <v>142</v>
      </c>
      <c r="L17" s="5"/>
      <c r="M17" s="5" t="s">
        <v>136</v>
      </c>
      <c r="N17" s="5" t="s">
        <v>62</v>
      </c>
      <c r="O17" s="5">
        <v>13.3</v>
      </c>
      <c r="P17" s="5"/>
      <c r="Q17" s="5"/>
      <c r="R17" s="5"/>
      <c r="S17" s="5">
        <v>91.4</v>
      </c>
      <c r="T17" s="5"/>
      <c r="U17" s="5" t="s">
        <v>149</v>
      </c>
      <c r="V17" s="5"/>
      <c r="W17" s="5"/>
    </row>
    <row r="18" spans="1:23" ht="23.25" customHeight="1" x14ac:dyDescent="0.2">
      <c r="A18" s="5" t="s">
        <v>96</v>
      </c>
      <c r="B18" s="5" t="s">
        <v>133</v>
      </c>
      <c r="C18" s="5">
        <v>164</v>
      </c>
      <c r="D18" s="5"/>
      <c r="E18" s="5"/>
      <c r="F18" s="5">
        <v>61.6</v>
      </c>
      <c r="G18" s="5">
        <v>42.1</v>
      </c>
      <c r="H18" s="5">
        <v>71.8</v>
      </c>
      <c r="I18" s="5">
        <v>62.8</v>
      </c>
      <c r="J18" s="5" t="s">
        <v>141</v>
      </c>
      <c r="K18" s="5" t="s">
        <v>147</v>
      </c>
      <c r="L18" s="5"/>
      <c r="M18" s="5" t="s">
        <v>146</v>
      </c>
      <c r="N18" s="5" t="s">
        <v>62</v>
      </c>
      <c r="O18" s="5">
        <v>23.8</v>
      </c>
      <c r="P18" s="5" t="s">
        <v>140</v>
      </c>
      <c r="Q18" s="5"/>
      <c r="R18" s="5">
        <v>3</v>
      </c>
      <c r="S18" s="5">
        <v>93.3</v>
      </c>
      <c r="T18" s="5"/>
      <c r="U18" s="5" t="s">
        <v>62</v>
      </c>
      <c r="V18" s="5"/>
      <c r="W18" s="5"/>
    </row>
    <row r="19" spans="1:23" ht="15" customHeight="1" x14ac:dyDescent="0.2">
      <c r="A19" s="5" t="s">
        <v>100</v>
      </c>
      <c r="B19" s="5" t="s">
        <v>133</v>
      </c>
      <c r="C19" s="5">
        <v>245</v>
      </c>
      <c r="D19" s="5"/>
      <c r="E19" s="5"/>
      <c r="F19" s="5">
        <v>77</v>
      </c>
      <c r="G19" s="5">
        <v>71</v>
      </c>
      <c r="H19" s="5">
        <v>83</v>
      </c>
      <c r="I19" s="5">
        <v>57.6</v>
      </c>
      <c r="J19" s="5" t="s">
        <v>134</v>
      </c>
      <c r="K19" s="5" t="s">
        <v>159</v>
      </c>
      <c r="L19" s="5"/>
      <c r="M19" s="5" t="s">
        <v>136</v>
      </c>
      <c r="N19" s="5" t="s">
        <v>62</v>
      </c>
      <c r="O19" s="5">
        <v>3.3</v>
      </c>
      <c r="P19" s="5" t="s">
        <v>155</v>
      </c>
      <c r="Q19" s="5"/>
      <c r="R19" s="5">
        <v>1</v>
      </c>
      <c r="S19" s="5">
        <v>85</v>
      </c>
      <c r="T19" s="5"/>
      <c r="U19" s="5" t="s">
        <v>138</v>
      </c>
      <c r="V19" s="5"/>
      <c r="W19" s="5"/>
    </row>
    <row r="20" spans="1:23" ht="34.5" customHeight="1" x14ac:dyDescent="0.2">
      <c r="A20" s="5" t="s">
        <v>105</v>
      </c>
      <c r="B20" s="5" t="s">
        <v>133</v>
      </c>
      <c r="C20" s="5">
        <v>60</v>
      </c>
      <c r="D20" s="5">
        <v>73.5</v>
      </c>
      <c r="E20" s="5">
        <v>18.5</v>
      </c>
      <c r="F20" s="5"/>
      <c r="G20" s="5"/>
      <c r="H20" s="5"/>
      <c r="I20" s="5">
        <v>52.5</v>
      </c>
      <c r="J20" s="5" t="s">
        <v>136</v>
      </c>
      <c r="K20" s="5" t="s">
        <v>160</v>
      </c>
      <c r="L20" s="5"/>
      <c r="M20" s="5" t="s">
        <v>136</v>
      </c>
      <c r="N20" s="5" t="s">
        <v>62</v>
      </c>
      <c r="O20" s="5">
        <v>21.7</v>
      </c>
      <c r="P20" s="5" t="s">
        <v>161</v>
      </c>
      <c r="Q20" s="5"/>
      <c r="R20" s="5"/>
      <c r="S20" s="5"/>
      <c r="T20" s="5"/>
      <c r="U20" s="5" t="s">
        <v>138</v>
      </c>
      <c r="V20" s="5"/>
      <c r="W20" s="5"/>
    </row>
    <row r="21" spans="1:23" ht="15" customHeight="1" x14ac:dyDescent="0.2">
      <c r="A21" s="5" t="s">
        <v>108</v>
      </c>
      <c r="B21" s="5" t="s">
        <v>133</v>
      </c>
      <c r="C21" s="5">
        <v>509</v>
      </c>
      <c r="D21" s="5"/>
      <c r="E21" s="5"/>
      <c r="F21" s="5">
        <v>61</v>
      </c>
      <c r="G21" s="5"/>
      <c r="H21" s="5"/>
      <c r="I21" s="5">
        <v>50.5</v>
      </c>
      <c r="J21" s="5" t="s">
        <v>134</v>
      </c>
      <c r="K21" s="5" t="s">
        <v>139</v>
      </c>
      <c r="L21" s="5"/>
      <c r="M21" s="5" t="s">
        <v>136</v>
      </c>
      <c r="N21" s="5" t="s">
        <v>62</v>
      </c>
      <c r="O21" s="5">
        <v>8.1999999999999993</v>
      </c>
      <c r="P21" s="5" t="s">
        <v>155</v>
      </c>
      <c r="Q21" s="5"/>
      <c r="R21" s="5"/>
      <c r="S21" s="5">
        <v>74.5</v>
      </c>
      <c r="T21" s="5"/>
      <c r="U21" s="5" t="s">
        <v>138</v>
      </c>
      <c r="V21" s="5"/>
      <c r="W21" s="5"/>
    </row>
    <row r="22" spans="1:23" ht="1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</sheetData>
  <dataValidations count="5">
    <dataValidation type="list" allowBlank="1" sqref="J2:J52" xr:uid="{00000000-0002-0000-0200-000000000000}">
      <formula1>"gram_positive,gram_negative,mixed,fungal"</formula1>
      <formula2>0</formula2>
    </dataValidation>
    <dataValidation type="list" allowBlank="1" sqref="M2:M52" xr:uid="{00000000-0002-0000-0200-000001000000}">
      <formula1>"endovascular,line_related,urinary,pulmonary,abdominal,skin_soft_tissue,osteoarticular,unknown,mixed"</formula1>
      <formula2>0</formula2>
    </dataValidation>
    <dataValidation type="list" allowBlank="1" sqref="N2:N52" xr:uid="{00000000-0002-0000-0200-000002000000}">
      <formula1>"achieved,not_achieved,mixed,not_applicable,NR"</formula1>
      <formula2>0</formula2>
    </dataValidation>
    <dataValidation type="list" allowBlank="1" sqref="P2:P52" xr:uid="{00000000-0002-0000-0200-000003000000}">
      <formula1>"APACHE_II,SOFA,Pitt,Charlson,other,NR"</formula1>
      <formula2>0</formula2>
    </dataValidation>
    <dataValidation type="list" allowBlank="1" sqref="U2:U52" xr:uid="{00000000-0002-0000-0200-000004000000}">
      <formula1>"BacTALERT,BACTEC,other,NR"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</sheetPr>
  <dimension ref="A1:U5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6" customWidth="1"/>
    <col min="2" max="2" width="12" customWidth="1"/>
    <col min="3" max="3" width="16" customWidth="1"/>
    <col min="4" max="6" width="10" customWidth="1"/>
    <col min="7" max="9" width="12" customWidth="1"/>
    <col min="10" max="11" width="14" customWidth="1"/>
    <col min="12" max="13" width="18" customWidth="1"/>
    <col min="14" max="15" width="14" customWidth="1"/>
    <col min="16" max="18" width="16" customWidth="1"/>
    <col min="19" max="19" width="20" customWidth="1"/>
    <col min="20" max="20" width="16" customWidth="1"/>
    <col min="21" max="21" width="30" customWidth="1"/>
  </cols>
  <sheetData>
    <row r="1" spans="1:21" ht="30" customHeight="1" x14ac:dyDescent="0.2">
      <c r="A1" s="4" t="s">
        <v>25</v>
      </c>
      <c r="B1" s="4" t="s">
        <v>112</v>
      </c>
      <c r="C1" s="4" t="s">
        <v>162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168</v>
      </c>
      <c r="J1" s="4" t="s">
        <v>169</v>
      </c>
      <c r="K1" s="4" t="s">
        <v>170</v>
      </c>
      <c r="L1" s="4" t="s">
        <v>171</v>
      </c>
      <c r="M1" s="4" t="s">
        <v>172</v>
      </c>
      <c r="N1" s="4" t="s">
        <v>173</v>
      </c>
      <c r="O1" s="4" t="s">
        <v>174</v>
      </c>
      <c r="P1" s="4" t="s">
        <v>175</v>
      </c>
      <c r="Q1" s="4" t="s">
        <v>176</v>
      </c>
      <c r="R1" s="4" t="s">
        <v>177</v>
      </c>
      <c r="S1" s="4" t="s">
        <v>178</v>
      </c>
      <c r="T1" s="4" t="s">
        <v>179</v>
      </c>
      <c r="U1" s="4" t="s">
        <v>43</v>
      </c>
    </row>
    <row r="2" spans="1:21" ht="15" customHeight="1" x14ac:dyDescent="0.2">
      <c r="A2" s="5" t="s">
        <v>44</v>
      </c>
      <c r="B2" s="5" t="s">
        <v>133</v>
      </c>
      <c r="C2" s="5" t="s">
        <v>180</v>
      </c>
      <c r="D2" s="5" t="s">
        <v>181</v>
      </c>
      <c r="E2" s="5"/>
      <c r="F2" s="5"/>
      <c r="G2" s="5">
        <v>10.1</v>
      </c>
      <c r="H2" s="5">
        <v>8.1999999999999993</v>
      </c>
      <c r="I2" s="5">
        <v>13.3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" customHeight="1" x14ac:dyDescent="0.2">
      <c r="A3" s="5" t="s">
        <v>49</v>
      </c>
      <c r="B3" s="5" t="s">
        <v>133</v>
      </c>
      <c r="C3" s="5" t="s">
        <v>182</v>
      </c>
      <c r="D3" s="5" t="s">
        <v>181</v>
      </c>
      <c r="E3" s="5"/>
      <c r="F3" s="5"/>
      <c r="G3" s="5">
        <v>12.5</v>
      </c>
      <c r="H3" s="5">
        <v>9.1</v>
      </c>
      <c r="I3" s="5">
        <v>18.100000000000001</v>
      </c>
      <c r="J3" s="5"/>
      <c r="K3" s="5"/>
      <c r="L3" s="5">
        <v>11</v>
      </c>
      <c r="M3" s="5" t="s">
        <v>183</v>
      </c>
      <c r="N3" s="5">
        <v>68</v>
      </c>
      <c r="O3" s="5">
        <v>99</v>
      </c>
      <c r="P3" s="5"/>
      <c r="Q3" s="5"/>
      <c r="R3" s="5"/>
      <c r="S3" s="5"/>
      <c r="T3" s="5"/>
      <c r="U3" s="5"/>
    </row>
    <row r="4" spans="1:21" ht="15" customHeight="1" x14ac:dyDescent="0.2">
      <c r="A4" s="5" t="s">
        <v>52</v>
      </c>
      <c r="B4" s="5" t="s">
        <v>133</v>
      </c>
      <c r="C4" s="5" t="s">
        <v>184</v>
      </c>
      <c r="D4" s="5" t="s">
        <v>181</v>
      </c>
      <c r="E4" s="5"/>
      <c r="F4" s="5"/>
      <c r="G4" s="5">
        <v>10.5</v>
      </c>
      <c r="H4" s="5">
        <v>9</v>
      </c>
      <c r="I4" s="5">
        <v>11.5</v>
      </c>
      <c r="J4" s="5"/>
      <c r="K4" s="5"/>
      <c r="L4" s="5">
        <v>9.1999999999999993</v>
      </c>
      <c r="M4" s="5" t="s">
        <v>183</v>
      </c>
      <c r="N4" s="5">
        <v>69</v>
      </c>
      <c r="O4" s="5">
        <v>209</v>
      </c>
      <c r="P4" s="5"/>
      <c r="Q4" s="5"/>
      <c r="R4" s="5"/>
      <c r="S4" s="5"/>
      <c r="T4" s="5"/>
      <c r="U4" s="5"/>
    </row>
    <row r="5" spans="1:21" ht="15" customHeight="1" x14ac:dyDescent="0.2">
      <c r="A5" s="5" t="s">
        <v>56</v>
      </c>
      <c r="B5" s="5" t="s">
        <v>133</v>
      </c>
      <c r="C5" s="5" t="s">
        <v>180</v>
      </c>
      <c r="D5" s="5" t="s">
        <v>181</v>
      </c>
      <c r="E5" s="5"/>
      <c r="F5" s="5"/>
      <c r="G5" s="5"/>
      <c r="H5" s="5"/>
      <c r="I5" s="5"/>
      <c r="J5" s="5"/>
      <c r="K5" s="5"/>
      <c r="L5" s="5">
        <v>13</v>
      </c>
      <c r="M5" s="5" t="s">
        <v>185</v>
      </c>
      <c r="N5" s="5"/>
      <c r="O5" s="5"/>
      <c r="P5" s="5"/>
      <c r="Q5" s="5"/>
      <c r="R5" s="5"/>
      <c r="S5" s="5"/>
      <c r="T5" s="5"/>
      <c r="U5" s="5"/>
    </row>
    <row r="6" spans="1:21" ht="15" customHeight="1" x14ac:dyDescent="0.2">
      <c r="A6" s="5" t="s">
        <v>59</v>
      </c>
      <c r="B6" s="5" t="s">
        <v>133</v>
      </c>
      <c r="C6" s="5" t="s">
        <v>180</v>
      </c>
      <c r="D6" s="5" t="s">
        <v>181</v>
      </c>
      <c r="E6" s="5"/>
      <c r="F6" s="5"/>
      <c r="G6" s="5">
        <v>13.6</v>
      </c>
      <c r="H6" s="5">
        <v>3.6</v>
      </c>
      <c r="I6" s="5">
        <v>95.2</v>
      </c>
      <c r="J6" s="5"/>
      <c r="K6" s="5"/>
      <c r="L6" s="5">
        <v>11.3</v>
      </c>
      <c r="M6" s="5" t="s">
        <v>183</v>
      </c>
      <c r="N6" s="5"/>
      <c r="O6" s="5"/>
      <c r="P6" s="5"/>
      <c r="Q6" s="5"/>
      <c r="R6" s="5"/>
      <c r="S6" s="5"/>
      <c r="T6" s="5"/>
      <c r="U6" s="5"/>
    </row>
    <row r="7" spans="1:21" ht="15" customHeight="1" x14ac:dyDescent="0.2">
      <c r="A7" s="5" t="s">
        <v>63</v>
      </c>
      <c r="B7" s="5" t="s">
        <v>133</v>
      </c>
      <c r="C7" s="5" t="s">
        <v>180</v>
      </c>
      <c r="D7" s="5" t="s">
        <v>181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15" customHeight="1" x14ac:dyDescent="0.2">
      <c r="A8" s="5" t="s">
        <v>66</v>
      </c>
      <c r="B8" s="5" t="s">
        <v>133</v>
      </c>
      <c r="C8" s="5" t="s">
        <v>182</v>
      </c>
      <c r="D8" s="5" t="s">
        <v>181</v>
      </c>
      <c r="E8" s="5"/>
      <c r="F8" s="5"/>
      <c r="G8" s="5">
        <v>11</v>
      </c>
      <c r="H8" s="5">
        <v>7.7</v>
      </c>
      <c r="I8" s="5">
        <v>16.100000000000001</v>
      </c>
      <c r="J8" s="5"/>
      <c r="K8" s="5"/>
      <c r="L8" s="5">
        <v>9.4</v>
      </c>
      <c r="M8" s="5" t="s">
        <v>183</v>
      </c>
      <c r="N8" s="5">
        <v>54</v>
      </c>
      <c r="O8" s="5">
        <v>94</v>
      </c>
      <c r="P8" s="5"/>
      <c r="Q8" s="5"/>
      <c r="R8" s="5"/>
      <c r="S8" s="5"/>
      <c r="T8" s="5"/>
      <c r="U8" s="5"/>
    </row>
    <row r="9" spans="1:21" ht="15" customHeight="1" x14ac:dyDescent="0.2">
      <c r="A9" s="5" t="s">
        <v>68</v>
      </c>
      <c r="B9" s="5" t="s">
        <v>133</v>
      </c>
      <c r="C9" s="5" t="s">
        <v>184</v>
      </c>
      <c r="D9" s="5" t="s">
        <v>181</v>
      </c>
      <c r="E9" s="5"/>
      <c r="F9" s="5"/>
      <c r="G9" s="5"/>
      <c r="H9" s="5"/>
      <c r="I9" s="5"/>
      <c r="J9" s="5"/>
      <c r="K9" s="5"/>
      <c r="L9" s="5">
        <v>24</v>
      </c>
      <c r="M9" s="5" t="s">
        <v>186</v>
      </c>
      <c r="N9" s="5"/>
      <c r="O9" s="5"/>
      <c r="P9" s="5"/>
      <c r="Q9" s="5"/>
      <c r="R9" s="5"/>
      <c r="S9" s="5"/>
      <c r="T9" s="5"/>
      <c r="U9" s="5"/>
    </row>
    <row r="10" spans="1:21" ht="15" customHeight="1" x14ac:dyDescent="0.2">
      <c r="A10" s="5" t="s">
        <v>72</v>
      </c>
      <c r="B10" s="5" t="s">
        <v>133</v>
      </c>
      <c r="C10" s="5" t="s">
        <v>184</v>
      </c>
      <c r="D10" s="5" t="s">
        <v>181</v>
      </c>
      <c r="E10" s="5"/>
      <c r="F10" s="5"/>
      <c r="G10" s="5">
        <v>15.7</v>
      </c>
      <c r="H10" s="5">
        <v>13.5</v>
      </c>
      <c r="I10" s="5">
        <v>19.3</v>
      </c>
      <c r="J10" s="5"/>
      <c r="K10" s="5"/>
      <c r="L10" s="5">
        <v>24</v>
      </c>
      <c r="M10" s="5" t="s">
        <v>186</v>
      </c>
      <c r="N10" s="5">
        <v>765</v>
      </c>
      <c r="O10" s="5">
        <v>132</v>
      </c>
      <c r="P10" s="5"/>
      <c r="Q10" s="5"/>
      <c r="R10" s="5"/>
      <c r="S10" s="5"/>
      <c r="T10" s="5"/>
      <c r="U10" s="5"/>
    </row>
    <row r="11" spans="1:21" ht="15" customHeight="1" x14ac:dyDescent="0.2">
      <c r="A11" s="5" t="s">
        <v>75</v>
      </c>
      <c r="B11" s="5" t="s">
        <v>133</v>
      </c>
      <c r="C11" s="5" t="s">
        <v>184</v>
      </c>
      <c r="D11" s="5" t="s">
        <v>181</v>
      </c>
      <c r="E11" s="5"/>
      <c r="F11" s="5"/>
      <c r="G11" s="5">
        <v>15</v>
      </c>
      <c r="H11" s="5">
        <v>11.2</v>
      </c>
      <c r="I11" s="5">
        <v>18</v>
      </c>
      <c r="J11" s="5"/>
      <c r="K11" s="5"/>
      <c r="L11" s="5">
        <v>13</v>
      </c>
      <c r="M11" s="5" t="s">
        <v>183</v>
      </c>
      <c r="N11" s="5"/>
      <c r="O11" s="5"/>
      <c r="P11" s="5"/>
      <c r="Q11" s="5"/>
      <c r="R11" s="5"/>
      <c r="S11" s="5"/>
      <c r="T11" s="5"/>
      <c r="U11" s="5"/>
    </row>
    <row r="12" spans="1:21" ht="15" customHeight="1" x14ac:dyDescent="0.2">
      <c r="A12" s="5" t="s">
        <v>77</v>
      </c>
      <c r="B12" s="5" t="s">
        <v>133</v>
      </c>
      <c r="C12" s="5" t="s">
        <v>180</v>
      </c>
      <c r="D12" s="5" t="s">
        <v>181</v>
      </c>
      <c r="E12" s="5"/>
      <c r="F12" s="5"/>
      <c r="G12" s="5">
        <v>33.299999999999997</v>
      </c>
      <c r="H12" s="5">
        <v>24.6</v>
      </c>
      <c r="I12" s="5">
        <v>44.1</v>
      </c>
      <c r="J12" s="5"/>
      <c r="K12" s="5"/>
      <c r="L12" s="5">
        <v>48</v>
      </c>
      <c r="M12" s="5" t="s">
        <v>186</v>
      </c>
      <c r="N12" s="5">
        <v>153</v>
      </c>
      <c r="O12" s="5">
        <v>25</v>
      </c>
      <c r="P12" s="5"/>
      <c r="Q12" s="5"/>
      <c r="R12" s="5"/>
      <c r="S12" s="5"/>
      <c r="T12" s="5"/>
      <c r="U12" s="5"/>
    </row>
    <row r="13" spans="1:21" ht="15" customHeight="1" x14ac:dyDescent="0.2">
      <c r="A13" s="5" t="s">
        <v>81</v>
      </c>
      <c r="B13" s="5" t="s">
        <v>133</v>
      </c>
      <c r="C13" s="5" t="s">
        <v>180</v>
      </c>
      <c r="D13" s="5" t="s">
        <v>181</v>
      </c>
      <c r="E13" s="5"/>
      <c r="F13" s="5"/>
      <c r="G13" s="5"/>
      <c r="H13" s="5"/>
      <c r="I13" s="5"/>
      <c r="J13" s="5"/>
      <c r="K13" s="5"/>
      <c r="L13" s="5">
        <v>72</v>
      </c>
      <c r="M13" s="5" t="s">
        <v>183</v>
      </c>
      <c r="N13" s="5">
        <v>555</v>
      </c>
      <c r="O13" s="5">
        <v>329</v>
      </c>
      <c r="P13" s="5"/>
      <c r="Q13" s="5"/>
      <c r="R13" s="5"/>
      <c r="S13" s="5"/>
      <c r="T13" s="5"/>
      <c r="U13" s="5"/>
    </row>
    <row r="14" spans="1:21" ht="15" customHeight="1" x14ac:dyDescent="0.2">
      <c r="A14" s="5" t="s">
        <v>83</v>
      </c>
      <c r="B14" s="5" t="s">
        <v>133</v>
      </c>
      <c r="C14" s="5" t="s">
        <v>180</v>
      </c>
      <c r="D14" s="5" t="s">
        <v>181</v>
      </c>
      <c r="E14" s="5"/>
      <c r="F14" s="5"/>
      <c r="G14" s="5">
        <v>20.2</v>
      </c>
      <c r="H14" s="5">
        <v>15.3</v>
      </c>
      <c r="I14" s="5">
        <v>28</v>
      </c>
      <c r="J14" s="5"/>
      <c r="K14" s="5"/>
      <c r="L14" s="5"/>
      <c r="M14" s="5" t="s">
        <v>156</v>
      </c>
      <c r="N14" s="5"/>
      <c r="O14" s="5"/>
      <c r="P14" s="5"/>
      <c r="Q14" s="5"/>
      <c r="R14" s="5"/>
      <c r="S14" s="5"/>
      <c r="T14" s="5"/>
      <c r="U14" s="5"/>
    </row>
    <row r="15" spans="1:21" ht="15" customHeight="1" x14ac:dyDescent="0.2">
      <c r="A15" s="5" t="s">
        <v>86</v>
      </c>
      <c r="B15" s="5" t="s">
        <v>133</v>
      </c>
      <c r="C15" s="5" t="s">
        <v>180</v>
      </c>
      <c r="D15" s="5" t="s">
        <v>181</v>
      </c>
      <c r="E15" s="5"/>
      <c r="F15" s="5"/>
      <c r="G15" s="5">
        <v>14</v>
      </c>
      <c r="H15" s="5">
        <v>10.9</v>
      </c>
      <c r="I15" s="5">
        <v>22.5</v>
      </c>
      <c r="J15" s="5"/>
      <c r="K15" s="5"/>
      <c r="L15" s="5">
        <v>11.8</v>
      </c>
      <c r="M15" s="5" t="s">
        <v>183</v>
      </c>
      <c r="N15" s="5">
        <v>9</v>
      </c>
      <c r="O15" s="5">
        <v>58</v>
      </c>
      <c r="P15" s="5"/>
      <c r="Q15" s="5"/>
      <c r="R15" s="5"/>
      <c r="S15" s="5"/>
      <c r="T15" s="5"/>
      <c r="U15" s="5"/>
    </row>
    <row r="16" spans="1:21" ht="23.25" customHeight="1" x14ac:dyDescent="0.2">
      <c r="A16" s="5" t="s">
        <v>88</v>
      </c>
      <c r="B16" s="5" t="s">
        <v>133</v>
      </c>
      <c r="C16" s="5" t="s">
        <v>180</v>
      </c>
      <c r="D16" s="5" t="s">
        <v>181</v>
      </c>
      <c r="E16" s="5"/>
      <c r="F16" s="5"/>
      <c r="G16" s="5"/>
      <c r="H16" s="5">
        <v>10</v>
      </c>
      <c r="I16" s="5">
        <v>17</v>
      </c>
      <c r="J16" s="5"/>
      <c r="K16" s="5"/>
      <c r="L16" s="5">
        <v>13</v>
      </c>
      <c r="M16" s="5" t="s">
        <v>156</v>
      </c>
      <c r="N16" s="5"/>
      <c r="O16" s="5"/>
      <c r="P16" s="5"/>
      <c r="Q16" s="5"/>
      <c r="R16" s="5"/>
      <c r="S16" s="5"/>
      <c r="T16" s="5"/>
      <c r="U16" s="5"/>
    </row>
    <row r="17" spans="1:21" ht="15" customHeight="1" x14ac:dyDescent="0.2">
      <c r="A17" s="5" t="s">
        <v>92</v>
      </c>
      <c r="B17" s="5" t="s">
        <v>133</v>
      </c>
      <c r="C17" s="5" t="s">
        <v>180</v>
      </c>
      <c r="D17" s="5" t="s">
        <v>181</v>
      </c>
      <c r="E17" s="5"/>
      <c r="F17" s="5"/>
      <c r="G17" s="5">
        <v>14.1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23.25" customHeight="1" x14ac:dyDescent="0.2">
      <c r="A18" s="5" t="s">
        <v>96</v>
      </c>
      <c r="B18" s="5" t="s">
        <v>133</v>
      </c>
      <c r="C18" s="5" t="s">
        <v>180</v>
      </c>
      <c r="D18" s="5" t="s">
        <v>181</v>
      </c>
      <c r="E18" s="5"/>
      <c r="F18" s="5"/>
      <c r="G18" s="5">
        <v>11</v>
      </c>
      <c r="H18" s="5">
        <v>9</v>
      </c>
      <c r="I18" s="5">
        <v>14.6</v>
      </c>
      <c r="J18" s="5"/>
      <c r="K18" s="5"/>
      <c r="L18" s="5">
        <v>10</v>
      </c>
      <c r="M18" s="5" t="s">
        <v>185</v>
      </c>
      <c r="N18" s="5">
        <v>69</v>
      </c>
      <c r="O18" s="5">
        <v>95</v>
      </c>
      <c r="P18" s="5"/>
      <c r="Q18" s="5"/>
      <c r="R18" s="5"/>
      <c r="S18" s="5"/>
      <c r="T18" s="5"/>
      <c r="U18" s="5"/>
    </row>
    <row r="19" spans="1:21" ht="15" customHeight="1" x14ac:dyDescent="0.2">
      <c r="A19" s="5" t="s">
        <v>100</v>
      </c>
      <c r="B19" s="5" t="s">
        <v>133</v>
      </c>
      <c r="C19" s="5" t="s">
        <v>180</v>
      </c>
      <c r="D19" s="5" t="s">
        <v>181</v>
      </c>
      <c r="E19" s="5"/>
      <c r="F19" s="5"/>
      <c r="G19" s="5">
        <v>12</v>
      </c>
      <c r="H19" s="5">
        <v>11</v>
      </c>
      <c r="I19" s="5">
        <v>15</v>
      </c>
      <c r="J19" s="5"/>
      <c r="K19" s="5"/>
      <c r="L19" s="5">
        <v>11</v>
      </c>
      <c r="M19" s="5" t="s">
        <v>183</v>
      </c>
      <c r="N19" s="5">
        <v>84</v>
      </c>
      <c r="O19" s="5">
        <v>161</v>
      </c>
      <c r="P19" s="5"/>
      <c r="Q19" s="5"/>
      <c r="R19" s="5"/>
      <c r="S19" s="5"/>
      <c r="T19" s="5"/>
      <c r="U19" s="5"/>
    </row>
    <row r="20" spans="1:21" ht="15" customHeight="1" x14ac:dyDescent="0.2">
      <c r="A20" s="5" t="s">
        <v>105</v>
      </c>
      <c r="B20" s="5" t="s">
        <v>133</v>
      </c>
      <c r="C20" s="5" t="s">
        <v>180</v>
      </c>
      <c r="D20" s="5" t="s">
        <v>181</v>
      </c>
      <c r="E20" s="5">
        <v>12.5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5" customHeight="1" x14ac:dyDescent="0.2">
      <c r="A21" s="5" t="s">
        <v>108</v>
      </c>
      <c r="B21" s="5" t="s">
        <v>133</v>
      </c>
      <c r="C21" s="5" t="s">
        <v>182</v>
      </c>
      <c r="D21" s="5" t="s">
        <v>181</v>
      </c>
      <c r="E21" s="5"/>
      <c r="F21" s="5"/>
      <c r="G21" s="5"/>
      <c r="H21" s="5"/>
      <c r="I21" s="5"/>
      <c r="J21" s="5"/>
      <c r="K21" s="5"/>
      <c r="L21" s="5">
        <v>8</v>
      </c>
      <c r="M21" s="5" t="s">
        <v>183</v>
      </c>
      <c r="N21" s="5">
        <v>105</v>
      </c>
      <c r="O21" s="5">
        <v>404</v>
      </c>
      <c r="P21" s="5"/>
      <c r="Q21" s="5"/>
      <c r="R21" s="5"/>
      <c r="S21" s="5"/>
      <c r="T21" s="5"/>
      <c r="U21" s="5"/>
    </row>
    <row r="22" spans="1:21" ht="1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1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1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1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1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15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15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15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15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15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15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15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15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1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15" customHeight="1" x14ac:dyDescent="0.2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15" customHeight="1" x14ac:dyDescent="0.2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5" customHeight="1" x14ac:dyDescent="0.2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" customHeight="1" x14ac:dyDescent="0.2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" customHeight="1" x14ac:dyDescent="0.2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" customHeight="1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</sheetData>
  <dataValidations count="3">
    <dataValidation type="list" allowBlank="1" sqref="C2:C52" xr:uid="{00000000-0002-0000-0300-000000000000}">
      <formula1>"continuous,dichotomized,both,categorical"</formula1>
      <formula2>0</formula2>
    </dataValidation>
    <dataValidation type="list" allowBlank="1" sqref="D2:D52" xr:uid="{00000000-0002-0000-0300-000001000000}">
      <formula1>"hours,minutes"</formula1>
      <formula2>0</formula2>
    </dataValidation>
    <dataValidation type="list" allowBlank="1" sqref="M2:M52" xr:uid="{00000000-0002-0000-0300-000002000000}">
      <formula1>"ROC_derived,clinical_convention,prior_literature,median_split,other"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W5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6" customWidth="1"/>
    <col min="2" max="2" width="12" customWidth="1"/>
    <col min="3" max="3" width="22" customWidth="1"/>
    <col min="4" max="4" width="28" customWidth="1"/>
    <col min="5" max="6" width="22" customWidth="1"/>
    <col min="7" max="7" width="18" customWidth="1"/>
    <col min="8" max="8" width="16" customWidth="1"/>
    <col min="9" max="9" width="18" customWidth="1"/>
    <col min="10" max="10" width="14" customWidth="1"/>
    <col min="11" max="12" width="16" customWidth="1"/>
    <col min="13" max="14" width="12" customWidth="1"/>
    <col min="15" max="15" width="10" customWidth="1"/>
    <col min="16" max="16" width="12" customWidth="1"/>
    <col min="17" max="17" width="28" customWidth="1"/>
    <col min="18" max="18" width="14" customWidth="1"/>
    <col min="19" max="19" width="10" customWidth="1"/>
    <col min="20" max="20" width="14" customWidth="1"/>
    <col min="21" max="22" width="20" customWidth="1"/>
    <col min="23" max="23" width="30" customWidth="1"/>
  </cols>
  <sheetData>
    <row r="1" spans="1:23" ht="30" customHeight="1" x14ac:dyDescent="0.2">
      <c r="A1" s="4" t="s">
        <v>25</v>
      </c>
      <c r="B1" s="4" t="s">
        <v>112</v>
      </c>
      <c r="C1" s="4" t="s">
        <v>187</v>
      </c>
      <c r="D1" s="4" t="s">
        <v>188</v>
      </c>
      <c r="E1" s="4" t="s">
        <v>189</v>
      </c>
      <c r="F1" s="4" t="s">
        <v>190</v>
      </c>
      <c r="G1" s="4" t="s">
        <v>191</v>
      </c>
      <c r="H1" s="4" t="s">
        <v>173</v>
      </c>
      <c r="I1" s="4" t="s">
        <v>192</v>
      </c>
      <c r="J1" s="4" t="s">
        <v>174</v>
      </c>
      <c r="K1" s="4" t="s">
        <v>193</v>
      </c>
      <c r="L1" s="4" t="s">
        <v>194</v>
      </c>
      <c r="M1" s="4" t="s">
        <v>195</v>
      </c>
      <c r="N1" s="4" t="s">
        <v>196</v>
      </c>
      <c r="O1" s="4" t="s">
        <v>197</v>
      </c>
      <c r="P1" s="4" t="s">
        <v>198</v>
      </c>
      <c r="Q1" s="4" t="s">
        <v>199</v>
      </c>
      <c r="R1" s="4" t="s">
        <v>200</v>
      </c>
      <c r="S1" s="4" t="s">
        <v>201</v>
      </c>
      <c r="T1" s="4" t="s">
        <v>202</v>
      </c>
      <c r="U1" s="4" t="s">
        <v>203</v>
      </c>
      <c r="V1" s="4" t="s">
        <v>204</v>
      </c>
      <c r="W1" s="4" t="s">
        <v>43</v>
      </c>
    </row>
    <row r="2" spans="1:23" ht="15" customHeight="1" x14ac:dyDescent="0.2">
      <c r="A2" s="5" t="s">
        <v>44</v>
      </c>
      <c r="B2" s="5" t="s">
        <v>133</v>
      </c>
      <c r="C2" s="5" t="s">
        <v>205</v>
      </c>
      <c r="D2" s="5" t="s">
        <v>206</v>
      </c>
      <c r="E2" s="5">
        <v>28</v>
      </c>
      <c r="F2" s="5" t="s">
        <v>207</v>
      </c>
      <c r="G2" s="5"/>
      <c r="H2" s="5"/>
      <c r="I2" s="5"/>
      <c r="J2" s="5"/>
      <c r="K2" s="5"/>
      <c r="L2" s="5"/>
      <c r="M2" s="5"/>
      <c r="N2" s="5"/>
      <c r="O2" s="5">
        <v>0.35</v>
      </c>
      <c r="P2" s="5" t="b">
        <f>FALSE()</f>
        <v>0</v>
      </c>
      <c r="Q2" s="5"/>
      <c r="R2" s="5"/>
      <c r="S2" s="5"/>
      <c r="T2" s="5"/>
      <c r="U2" s="5"/>
      <c r="V2" s="5"/>
      <c r="W2" s="5"/>
    </row>
    <row r="3" spans="1:23" ht="23.25" customHeight="1" x14ac:dyDescent="0.2">
      <c r="A3" s="5" t="s">
        <v>44</v>
      </c>
      <c r="B3" s="5" t="s">
        <v>133</v>
      </c>
      <c r="C3" s="5" t="s">
        <v>205</v>
      </c>
      <c r="D3" s="5" t="s">
        <v>208</v>
      </c>
      <c r="E3" s="5">
        <v>28</v>
      </c>
      <c r="F3" s="5" t="s">
        <v>207</v>
      </c>
      <c r="G3" s="5"/>
      <c r="H3" s="5"/>
      <c r="I3" s="5"/>
      <c r="J3" s="5"/>
      <c r="K3" s="5" t="s">
        <v>209</v>
      </c>
      <c r="L3" s="5">
        <v>4.0599999999999996</v>
      </c>
      <c r="M3" s="5">
        <v>1.51</v>
      </c>
      <c r="N3" s="5">
        <v>10.88</v>
      </c>
      <c r="O3" s="5">
        <v>0.01</v>
      </c>
      <c r="P3" s="5" t="b">
        <f>FALSE()</f>
        <v>0</v>
      </c>
      <c r="Q3" s="5"/>
      <c r="R3" s="5"/>
      <c r="S3" s="5"/>
      <c r="T3" s="5"/>
      <c r="U3" s="5"/>
      <c r="V3" s="5"/>
      <c r="W3" s="5"/>
    </row>
    <row r="4" spans="1:23" ht="34.5" customHeight="1" x14ac:dyDescent="0.2">
      <c r="A4" s="5" t="s">
        <v>49</v>
      </c>
      <c r="B4" s="5" t="s">
        <v>133</v>
      </c>
      <c r="C4" s="5" t="s">
        <v>210</v>
      </c>
      <c r="D4" s="5" t="s">
        <v>211</v>
      </c>
      <c r="E4" s="5"/>
      <c r="F4" s="5"/>
      <c r="G4" s="5"/>
      <c r="H4" s="5">
        <v>68</v>
      </c>
      <c r="I4" s="5"/>
      <c r="J4" s="5">
        <v>99</v>
      </c>
      <c r="K4" s="5" t="s">
        <v>209</v>
      </c>
      <c r="L4" s="5">
        <v>4.5</v>
      </c>
      <c r="M4" s="5">
        <v>1.7</v>
      </c>
      <c r="N4" s="5">
        <v>11.93</v>
      </c>
      <c r="O4" s="5">
        <v>0.03</v>
      </c>
      <c r="P4" s="5" t="b">
        <f>TRUE()</f>
        <v>1</v>
      </c>
      <c r="Q4" s="5" t="s">
        <v>212</v>
      </c>
      <c r="R4" s="5"/>
      <c r="S4" s="5"/>
      <c r="T4" s="5"/>
      <c r="U4" s="5"/>
      <c r="V4" s="5"/>
      <c r="W4" s="5" t="s">
        <v>213</v>
      </c>
    </row>
    <row r="5" spans="1:23" ht="23.25" customHeight="1" x14ac:dyDescent="0.2">
      <c r="A5" s="5" t="s">
        <v>49</v>
      </c>
      <c r="B5" s="5" t="s">
        <v>133</v>
      </c>
      <c r="C5" s="5" t="s">
        <v>205</v>
      </c>
      <c r="D5" s="5" t="s">
        <v>214</v>
      </c>
      <c r="E5" s="5"/>
      <c r="F5" s="5" t="s">
        <v>215</v>
      </c>
      <c r="G5" s="5"/>
      <c r="H5" s="5">
        <v>68</v>
      </c>
      <c r="I5" s="5"/>
      <c r="J5" s="5">
        <v>99</v>
      </c>
      <c r="K5" s="5" t="s">
        <v>209</v>
      </c>
      <c r="L5" s="5">
        <v>3.8</v>
      </c>
      <c r="M5" s="5">
        <v>1.04</v>
      </c>
      <c r="N5" s="5">
        <v>12.9</v>
      </c>
      <c r="O5" s="5">
        <v>3.5000000000000003E-2</v>
      </c>
      <c r="P5" s="5" t="b">
        <f>TRUE()</f>
        <v>1</v>
      </c>
      <c r="Q5" s="5" t="s">
        <v>216</v>
      </c>
      <c r="R5" s="5"/>
      <c r="S5" s="5"/>
      <c r="T5" s="5"/>
      <c r="U5" s="5"/>
      <c r="V5" s="5"/>
      <c r="W5" s="5"/>
    </row>
    <row r="6" spans="1:23" ht="34.5" customHeight="1" x14ac:dyDescent="0.2">
      <c r="A6" s="5" t="s">
        <v>52</v>
      </c>
      <c r="B6" s="5" t="s">
        <v>133</v>
      </c>
      <c r="C6" s="5" t="s">
        <v>205</v>
      </c>
      <c r="D6" s="5" t="s">
        <v>214</v>
      </c>
      <c r="E6" s="5"/>
      <c r="F6" s="5" t="s">
        <v>217</v>
      </c>
      <c r="G6" s="5">
        <v>10</v>
      </c>
      <c r="H6" s="5">
        <v>69</v>
      </c>
      <c r="I6" s="5">
        <v>9</v>
      </c>
      <c r="J6" s="5">
        <v>209</v>
      </c>
      <c r="K6" s="5" t="s">
        <v>209</v>
      </c>
      <c r="L6" s="5">
        <v>5.35</v>
      </c>
      <c r="M6" s="5">
        <v>1.55</v>
      </c>
      <c r="N6" s="5">
        <v>18.53</v>
      </c>
      <c r="O6" s="5">
        <v>0.01</v>
      </c>
      <c r="P6" s="5" t="b">
        <f>TRUE()</f>
        <v>1</v>
      </c>
      <c r="Q6" s="5" t="s">
        <v>218</v>
      </c>
      <c r="R6" s="5"/>
      <c r="S6" s="5"/>
      <c r="T6" s="5"/>
      <c r="U6" s="5"/>
      <c r="V6" s="5"/>
      <c r="W6" s="5" t="s">
        <v>219</v>
      </c>
    </row>
    <row r="7" spans="1:23" ht="23.25" customHeight="1" x14ac:dyDescent="0.2">
      <c r="A7" s="5" t="s">
        <v>52</v>
      </c>
      <c r="B7" s="5" t="s">
        <v>133</v>
      </c>
      <c r="C7" s="5" t="s">
        <v>205</v>
      </c>
      <c r="D7" s="5" t="s">
        <v>220</v>
      </c>
      <c r="E7" s="5">
        <v>30</v>
      </c>
      <c r="F7" s="5" t="s">
        <v>221</v>
      </c>
      <c r="G7" s="5">
        <v>10</v>
      </c>
      <c r="H7" s="5">
        <v>69</v>
      </c>
      <c r="I7" s="5">
        <v>11</v>
      </c>
      <c r="J7" s="5">
        <v>209</v>
      </c>
      <c r="K7" s="5" t="s">
        <v>209</v>
      </c>
      <c r="L7" s="5">
        <v>2.4700000000000002</v>
      </c>
      <c r="M7" s="5">
        <v>0.85</v>
      </c>
      <c r="N7" s="5">
        <v>7.21</v>
      </c>
      <c r="O7" s="5">
        <v>1.7999999999999999E-2</v>
      </c>
      <c r="P7" s="5" t="b">
        <f>FALSE()</f>
        <v>0</v>
      </c>
      <c r="Q7" s="5"/>
      <c r="R7" s="5"/>
      <c r="S7" s="5"/>
      <c r="T7" s="5"/>
      <c r="U7" s="5"/>
      <c r="V7" s="5"/>
      <c r="W7" s="5" t="s">
        <v>222</v>
      </c>
    </row>
    <row r="8" spans="1:23" ht="34.5" customHeight="1" x14ac:dyDescent="0.2">
      <c r="A8" s="5" t="s">
        <v>52</v>
      </c>
      <c r="B8" s="5" t="s">
        <v>133</v>
      </c>
      <c r="C8" s="5" t="s">
        <v>223</v>
      </c>
      <c r="D8" s="5" t="s">
        <v>224</v>
      </c>
      <c r="E8" s="5"/>
      <c r="F8" s="5"/>
      <c r="G8" s="5">
        <v>11</v>
      </c>
      <c r="H8" s="5">
        <v>69</v>
      </c>
      <c r="I8" s="5">
        <v>11</v>
      </c>
      <c r="J8" s="5">
        <v>209</v>
      </c>
      <c r="K8" s="5" t="s">
        <v>209</v>
      </c>
      <c r="L8" s="5">
        <v>4.5999999999999996</v>
      </c>
      <c r="M8" s="5">
        <v>1.63</v>
      </c>
      <c r="N8" s="5">
        <v>13.03</v>
      </c>
      <c r="O8" s="5"/>
      <c r="P8" s="5" t="b">
        <f>TRUE()</f>
        <v>1</v>
      </c>
      <c r="Q8" s="5" t="s">
        <v>225</v>
      </c>
      <c r="R8" s="5"/>
      <c r="S8" s="5"/>
      <c r="T8" s="5"/>
      <c r="U8" s="5"/>
      <c r="V8" s="5"/>
      <c r="W8" s="5" t="s">
        <v>213</v>
      </c>
    </row>
    <row r="9" spans="1:23" ht="34.5" customHeight="1" x14ac:dyDescent="0.2">
      <c r="A9" s="5" t="s">
        <v>56</v>
      </c>
      <c r="B9" s="5" t="s">
        <v>133</v>
      </c>
      <c r="C9" s="5" t="s">
        <v>226</v>
      </c>
      <c r="D9" s="5" t="s">
        <v>227</v>
      </c>
      <c r="E9" s="5"/>
      <c r="F9" s="5"/>
      <c r="G9" s="5"/>
      <c r="H9" s="5"/>
      <c r="I9" s="5"/>
      <c r="J9" s="5"/>
      <c r="K9" s="5" t="s">
        <v>209</v>
      </c>
      <c r="L9" s="5">
        <v>0.92</v>
      </c>
      <c r="M9" s="5">
        <v>0.85</v>
      </c>
      <c r="N9" s="5">
        <v>0.99</v>
      </c>
      <c r="O9" s="5">
        <v>0.02</v>
      </c>
      <c r="P9" s="5" t="b">
        <f>FALSE()</f>
        <v>0</v>
      </c>
      <c r="Q9" s="5"/>
      <c r="R9" s="5"/>
      <c r="S9" s="5"/>
      <c r="T9" s="5">
        <v>0.92</v>
      </c>
      <c r="U9" s="5">
        <v>0.85</v>
      </c>
      <c r="V9" s="5">
        <v>0.99</v>
      </c>
      <c r="W9" s="5" t="s">
        <v>213</v>
      </c>
    </row>
    <row r="10" spans="1:23" ht="34.5" customHeight="1" x14ac:dyDescent="0.2">
      <c r="A10" s="5" t="s">
        <v>56</v>
      </c>
      <c r="B10" s="5" t="s">
        <v>133</v>
      </c>
      <c r="C10" s="5" t="s">
        <v>226</v>
      </c>
      <c r="D10" s="5" t="s">
        <v>228</v>
      </c>
      <c r="E10" s="5"/>
      <c r="F10" s="5"/>
      <c r="G10" s="5"/>
      <c r="H10" s="5"/>
      <c r="I10" s="5"/>
      <c r="J10" s="5"/>
      <c r="K10" s="5" t="s">
        <v>209</v>
      </c>
      <c r="L10" s="5">
        <v>1.02</v>
      </c>
      <c r="M10" s="5">
        <v>0.98</v>
      </c>
      <c r="N10" s="5">
        <v>1.06</v>
      </c>
      <c r="O10" s="5">
        <v>0.31</v>
      </c>
      <c r="P10" s="5" t="b">
        <f>FALSE()</f>
        <v>0</v>
      </c>
      <c r="Q10" s="5"/>
      <c r="R10" s="5"/>
      <c r="S10" s="5"/>
      <c r="T10" s="5">
        <v>1.02</v>
      </c>
      <c r="U10" s="5">
        <v>0.98</v>
      </c>
      <c r="V10" s="5">
        <v>1.06</v>
      </c>
      <c r="W10" s="5" t="s">
        <v>213</v>
      </c>
    </row>
    <row r="11" spans="1:23" ht="34.5" customHeight="1" x14ac:dyDescent="0.2">
      <c r="A11" s="5" t="s">
        <v>56</v>
      </c>
      <c r="B11" s="5" t="s">
        <v>133</v>
      </c>
      <c r="C11" s="5" t="s">
        <v>226</v>
      </c>
      <c r="D11" s="5" t="s">
        <v>229</v>
      </c>
      <c r="E11" s="5"/>
      <c r="F11" s="5"/>
      <c r="G11" s="5"/>
      <c r="H11" s="5"/>
      <c r="I11" s="5"/>
      <c r="J11" s="5"/>
      <c r="K11" s="5" t="s">
        <v>209</v>
      </c>
      <c r="L11" s="5">
        <v>1.08</v>
      </c>
      <c r="M11" s="5">
        <v>0.99</v>
      </c>
      <c r="N11" s="5">
        <v>1.18</v>
      </c>
      <c r="O11" s="5">
        <v>0.1</v>
      </c>
      <c r="P11" s="5" t="b">
        <f>FALSE()</f>
        <v>0</v>
      </c>
      <c r="Q11" s="5"/>
      <c r="R11" s="5"/>
      <c r="S11" s="5"/>
      <c r="T11" s="5">
        <v>1.08</v>
      </c>
      <c r="U11" s="5">
        <v>0.99</v>
      </c>
      <c r="V11" s="5">
        <v>1.18</v>
      </c>
      <c r="W11" s="5" t="s">
        <v>213</v>
      </c>
    </row>
    <row r="12" spans="1:23" ht="15" customHeight="1" x14ac:dyDescent="0.2">
      <c r="A12" s="5" t="s">
        <v>59</v>
      </c>
      <c r="B12" s="5" t="s">
        <v>133</v>
      </c>
      <c r="C12" s="5" t="s">
        <v>205</v>
      </c>
      <c r="D12" s="5" t="s">
        <v>230</v>
      </c>
      <c r="E12" s="5"/>
      <c r="F12" s="5" t="s">
        <v>215</v>
      </c>
      <c r="G12" s="5"/>
      <c r="H12" s="5"/>
      <c r="I12" s="5"/>
      <c r="J12" s="5"/>
      <c r="K12" s="5"/>
      <c r="L12" s="5"/>
      <c r="M12" s="5"/>
      <c r="N12" s="5"/>
      <c r="O12" s="5">
        <v>0.55800000000000005</v>
      </c>
      <c r="P12" s="5" t="b">
        <f>FALSE()</f>
        <v>0</v>
      </c>
      <c r="Q12" s="5"/>
      <c r="R12" s="5"/>
      <c r="S12" s="5"/>
      <c r="T12" s="5"/>
      <c r="U12" s="5"/>
      <c r="V12" s="5"/>
      <c r="W12" s="5"/>
    </row>
    <row r="13" spans="1:23" ht="34.5" customHeight="1" x14ac:dyDescent="0.2">
      <c r="A13" s="5" t="s">
        <v>59</v>
      </c>
      <c r="B13" s="5" t="s">
        <v>133</v>
      </c>
      <c r="C13" s="5" t="s">
        <v>226</v>
      </c>
      <c r="D13" s="5" t="s">
        <v>231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6.0000000000000001E-3</v>
      </c>
      <c r="P13" s="5" t="b">
        <f>FALSE()</f>
        <v>0</v>
      </c>
      <c r="Q13" s="5"/>
      <c r="R13" s="5"/>
      <c r="S13" s="5"/>
      <c r="T13" s="5"/>
      <c r="U13" s="5"/>
      <c r="V13" s="5"/>
      <c r="W13" s="5" t="s">
        <v>213</v>
      </c>
    </row>
    <row r="14" spans="1:23" ht="34.5" customHeight="1" x14ac:dyDescent="0.2">
      <c r="A14" s="5" t="s">
        <v>59</v>
      </c>
      <c r="B14" s="5" t="s">
        <v>133</v>
      </c>
      <c r="C14" s="5" t="s">
        <v>232</v>
      </c>
      <c r="D14" s="5" t="s">
        <v>233</v>
      </c>
      <c r="E14" s="5"/>
      <c r="F14" s="5" t="s">
        <v>234</v>
      </c>
      <c r="G14" s="5"/>
      <c r="H14" s="5"/>
      <c r="I14" s="5"/>
      <c r="J14" s="5"/>
      <c r="K14" s="5"/>
      <c r="L14" s="5"/>
      <c r="M14" s="5"/>
      <c r="N14" s="5"/>
      <c r="O14" s="5">
        <v>0.01</v>
      </c>
      <c r="P14" s="5" t="b">
        <f>FALSE()</f>
        <v>0</v>
      </c>
      <c r="Q14" s="5"/>
      <c r="R14" s="5"/>
      <c r="S14" s="5"/>
      <c r="T14" s="5"/>
      <c r="U14" s="5"/>
      <c r="V14" s="5"/>
      <c r="W14" s="5"/>
    </row>
    <row r="15" spans="1:23" ht="15" customHeight="1" x14ac:dyDescent="0.2">
      <c r="A15" s="5" t="s">
        <v>63</v>
      </c>
      <c r="B15" s="5" t="s">
        <v>133</v>
      </c>
      <c r="C15" s="5" t="s">
        <v>205</v>
      </c>
      <c r="D15" s="5" t="s">
        <v>235</v>
      </c>
      <c r="E15" s="5">
        <v>30</v>
      </c>
      <c r="F15" s="5" t="s">
        <v>221</v>
      </c>
      <c r="G15" s="5"/>
      <c r="H15" s="5"/>
      <c r="I15" s="5"/>
      <c r="J15" s="5"/>
      <c r="K15" s="5"/>
      <c r="L15" s="5"/>
      <c r="M15" s="5"/>
      <c r="N15" s="5"/>
      <c r="O15" s="5"/>
      <c r="P15" s="5" t="b">
        <f>FALSE()</f>
        <v>0</v>
      </c>
      <c r="Q15" s="5"/>
      <c r="R15" s="5"/>
      <c r="S15" s="5"/>
      <c r="T15" s="5"/>
      <c r="U15" s="5"/>
      <c r="V15" s="5"/>
      <c r="W15" s="5"/>
    </row>
    <row r="16" spans="1:23" ht="15" customHeight="1" x14ac:dyDescent="0.2">
      <c r="A16" s="5" t="s">
        <v>66</v>
      </c>
      <c r="B16" s="5" t="s">
        <v>133</v>
      </c>
      <c r="C16" s="5" t="s">
        <v>205</v>
      </c>
      <c r="D16" s="5" t="s">
        <v>214</v>
      </c>
      <c r="E16" s="5"/>
      <c r="F16" s="5" t="s">
        <v>217</v>
      </c>
      <c r="G16" s="5"/>
      <c r="H16" s="5"/>
      <c r="I16" s="5"/>
      <c r="J16" s="5"/>
      <c r="K16" s="5" t="s">
        <v>209</v>
      </c>
      <c r="L16" s="5">
        <v>2.5</v>
      </c>
      <c r="M16" s="5">
        <v>1.2</v>
      </c>
      <c r="N16" s="5">
        <v>5</v>
      </c>
      <c r="O16" s="5">
        <v>0.01</v>
      </c>
      <c r="P16" s="5" t="b">
        <f>FALSE()</f>
        <v>0</v>
      </c>
      <c r="Q16" s="5"/>
      <c r="R16" s="5"/>
      <c r="S16" s="5"/>
      <c r="T16" s="5"/>
      <c r="U16" s="5"/>
      <c r="V16" s="5"/>
      <c r="W16" s="5"/>
    </row>
    <row r="17" spans="1:23" ht="15" customHeight="1" x14ac:dyDescent="0.2">
      <c r="A17" s="5" t="s">
        <v>66</v>
      </c>
      <c r="B17" s="5" t="s">
        <v>133</v>
      </c>
      <c r="C17" s="5" t="s">
        <v>205</v>
      </c>
      <c r="D17" s="5" t="s">
        <v>236</v>
      </c>
      <c r="E17" s="5"/>
      <c r="F17" s="5" t="s">
        <v>217</v>
      </c>
      <c r="G17" s="5"/>
      <c r="H17" s="5"/>
      <c r="I17" s="5"/>
      <c r="J17" s="5"/>
      <c r="K17" s="5" t="s">
        <v>209</v>
      </c>
      <c r="L17" s="5">
        <v>2.7</v>
      </c>
      <c r="M17" s="5">
        <v>1</v>
      </c>
      <c r="N17" s="5">
        <v>7.4</v>
      </c>
      <c r="O17" s="5">
        <v>0.06</v>
      </c>
      <c r="P17" s="5" t="b">
        <f>TRUE()</f>
        <v>1</v>
      </c>
      <c r="Q17" s="5" t="s">
        <v>237</v>
      </c>
      <c r="R17" s="5"/>
      <c r="S17" s="5"/>
      <c r="T17" s="5"/>
      <c r="U17" s="5"/>
      <c r="V17" s="5"/>
      <c r="W17" s="5"/>
    </row>
    <row r="18" spans="1:23" ht="34.5" customHeight="1" x14ac:dyDescent="0.2">
      <c r="A18" s="5" t="s">
        <v>66</v>
      </c>
      <c r="B18" s="5" t="s">
        <v>133</v>
      </c>
      <c r="C18" s="5" t="s">
        <v>210</v>
      </c>
      <c r="D18" s="5" t="s">
        <v>238</v>
      </c>
      <c r="E18" s="5"/>
      <c r="F18" s="5"/>
      <c r="G18" s="5"/>
      <c r="H18" s="5"/>
      <c r="I18" s="5"/>
      <c r="J18" s="5"/>
      <c r="K18" s="5" t="s">
        <v>209</v>
      </c>
      <c r="L18" s="5">
        <v>1.8</v>
      </c>
      <c r="M18" s="5">
        <v>0.6</v>
      </c>
      <c r="N18" s="5">
        <v>5.0999999999999996</v>
      </c>
      <c r="O18" s="5">
        <v>0.27</v>
      </c>
      <c r="P18" s="5" t="b">
        <f>FALSE()</f>
        <v>0</v>
      </c>
      <c r="Q18" s="5"/>
      <c r="R18" s="5"/>
      <c r="S18" s="5"/>
      <c r="T18" s="5"/>
      <c r="U18" s="5"/>
      <c r="V18" s="5"/>
      <c r="W18" s="5" t="s">
        <v>213</v>
      </c>
    </row>
    <row r="19" spans="1:23" ht="34.5" customHeight="1" x14ac:dyDescent="0.2">
      <c r="A19" s="5" t="s">
        <v>66</v>
      </c>
      <c r="B19" s="5" t="s">
        <v>133</v>
      </c>
      <c r="C19" s="5" t="s">
        <v>239</v>
      </c>
      <c r="D19" s="5" t="s">
        <v>240</v>
      </c>
      <c r="E19" s="5"/>
      <c r="F19" s="5"/>
      <c r="G19" s="5"/>
      <c r="H19" s="5"/>
      <c r="I19" s="5"/>
      <c r="J19" s="5"/>
      <c r="K19" s="5" t="s">
        <v>209</v>
      </c>
      <c r="L19" s="5">
        <v>1</v>
      </c>
      <c r="M19" s="5">
        <v>1</v>
      </c>
      <c r="N19" s="5">
        <v>1</v>
      </c>
      <c r="O19" s="5">
        <v>0.32</v>
      </c>
      <c r="P19" s="5" t="b">
        <f>TRUE()</f>
        <v>1</v>
      </c>
      <c r="Q19" s="5" t="s">
        <v>241</v>
      </c>
      <c r="R19" s="5"/>
      <c r="S19" s="5"/>
      <c r="T19" s="5"/>
      <c r="U19" s="5"/>
      <c r="V19" s="5"/>
      <c r="W19" s="5" t="s">
        <v>213</v>
      </c>
    </row>
    <row r="20" spans="1:23" ht="23.25" customHeight="1" x14ac:dyDescent="0.2">
      <c r="A20" s="5" t="s">
        <v>68</v>
      </c>
      <c r="B20" s="5" t="s">
        <v>133</v>
      </c>
      <c r="C20" s="5" t="s">
        <v>205</v>
      </c>
      <c r="D20" s="5" t="s">
        <v>242</v>
      </c>
      <c r="E20" s="5"/>
      <c r="F20" s="5" t="s">
        <v>217</v>
      </c>
      <c r="G20" s="5"/>
      <c r="H20" s="5"/>
      <c r="I20" s="5"/>
      <c r="J20" s="5"/>
      <c r="K20" s="5" t="s">
        <v>209</v>
      </c>
      <c r="L20" s="5">
        <v>8.14</v>
      </c>
      <c r="M20" s="5">
        <v>5.0599999999999996</v>
      </c>
      <c r="N20" s="5">
        <v>13.1</v>
      </c>
      <c r="O20" s="5">
        <v>1E-3</v>
      </c>
      <c r="P20" s="5" t="b">
        <f>TRUE()</f>
        <v>1</v>
      </c>
      <c r="Q20" s="5" t="s">
        <v>243</v>
      </c>
      <c r="R20" s="5"/>
      <c r="S20" s="5"/>
      <c r="T20" s="5"/>
      <c r="U20" s="5"/>
      <c r="V20" s="5"/>
      <c r="W20" s="5"/>
    </row>
    <row r="21" spans="1:23" ht="34.5" customHeight="1" x14ac:dyDescent="0.2">
      <c r="A21" s="5" t="s">
        <v>68</v>
      </c>
      <c r="B21" s="5" t="s">
        <v>133</v>
      </c>
      <c r="C21" s="5" t="s">
        <v>244</v>
      </c>
      <c r="D21" s="5" t="s">
        <v>245</v>
      </c>
      <c r="E21" s="5"/>
      <c r="F21" s="5"/>
      <c r="G21" s="5"/>
      <c r="H21" s="5"/>
      <c r="I21" s="5"/>
      <c r="J21" s="5"/>
      <c r="K21" s="5" t="s">
        <v>209</v>
      </c>
      <c r="L21" s="5">
        <v>13.8</v>
      </c>
      <c r="M21" s="5">
        <v>5.27</v>
      </c>
      <c r="N21" s="5">
        <v>35.9</v>
      </c>
      <c r="O21" s="5">
        <v>1E-3</v>
      </c>
      <c r="P21" s="5" t="b">
        <f>TRUE()</f>
        <v>1</v>
      </c>
      <c r="Q21" s="5" t="s">
        <v>243</v>
      </c>
      <c r="R21" s="5"/>
      <c r="S21" s="5"/>
      <c r="T21" s="5"/>
      <c r="U21" s="5"/>
      <c r="V21" s="5"/>
      <c r="W21" s="5" t="s">
        <v>213</v>
      </c>
    </row>
    <row r="22" spans="1:23" ht="34.5" customHeight="1" x14ac:dyDescent="0.2">
      <c r="A22" s="5" t="s">
        <v>72</v>
      </c>
      <c r="B22" s="5" t="s">
        <v>133</v>
      </c>
      <c r="C22" s="5" t="s">
        <v>246</v>
      </c>
      <c r="D22" s="5" t="s">
        <v>247</v>
      </c>
      <c r="E22" s="5">
        <v>1</v>
      </c>
      <c r="F22" s="5" t="s">
        <v>248</v>
      </c>
      <c r="G22" s="5"/>
      <c r="H22" s="5"/>
      <c r="I22" s="5"/>
      <c r="J22" s="5"/>
      <c r="K22" s="5"/>
      <c r="L22" s="5">
        <v>1.8</v>
      </c>
      <c r="M22" s="5">
        <v>1.46</v>
      </c>
      <c r="N22" s="5">
        <v>2.14</v>
      </c>
      <c r="O22" s="5"/>
      <c r="P22" s="5" t="b">
        <f>FALSE()</f>
        <v>0</v>
      </c>
      <c r="Q22" s="5"/>
      <c r="R22" s="5"/>
      <c r="S22" s="5"/>
      <c r="T22" s="5"/>
      <c r="U22" s="5"/>
      <c r="V22" s="5"/>
      <c r="W22" s="5" t="s">
        <v>213</v>
      </c>
    </row>
    <row r="23" spans="1:23" ht="34.5" customHeight="1" x14ac:dyDescent="0.2">
      <c r="A23" s="5" t="s">
        <v>72</v>
      </c>
      <c r="B23" s="5" t="s">
        <v>133</v>
      </c>
      <c r="C23" s="5" t="s">
        <v>249</v>
      </c>
      <c r="D23" s="5" t="s">
        <v>250</v>
      </c>
      <c r="E23" s="5"/>
      <c r="F23" s="5"/>
      <c r="G23" s="5"/>
      <c r="H23" s="5"/>
      <c r="I23" s="5"/>
      <c r="J23" s="5"/>
      <c r="K23" s="5" t="s">
        <v>251</v>
      </c>
      <c r="L23" s="5">
        <v>0.22</v>
      </c>
      <c r="M23" s="5">
        <v>0.08</v>
      </c>
      <c r="N23" s="5">
        <v>0.57999999999999996</v>
      </c>
      <c r="O23" s="5">
        <v>1E-3</v>
      </c>
      <c r="P23" s="5" t="b">
        <f>FALSE()</f>
        <v>0</v>
      </c>
      <c r="Q23" s="5"/>
      <c r="R23" s="5"/>
      <c r="S23" s="5"/>
      <c r="T23" s="5"/>
      <c r="U23" s="5"/>
      <c r="V23" s="5"/>
      <c r="W23" s="5" t="s">
        <v>213</v>
      </c>
    </row>
    <row r="24" spans="1:23" ht="34.5" customHeight="1" x14ac:dyDescent="0.2">
      <c r="A24" s="5" t="s">
        <v>75</v>
      </c>
      <c r="B24" s="5" t="s">
        <v>133</v>
      </c>
      <c r="C24" s="5" t="s">
        <v>252</v>
      </c>
      <c r="D24" s="5" t="s">
        <v>253</v>
      </c>
      <c r="E24" s="5"/>
      <c r="F24" s="5"/>
      <c r="G24" s="5"/>
      <c r="H24" s="5"/>
      <c r="I24" s="5"/>
      <c r="J24" s="5"/>
      <c r="K24" s="5" t="s">
        <v>209</v>
      </c>
      <c r="L24" s="5">
        <v>3.7</v>
      </c>
      <c r="M24" s="5">
        <v>2.7</v>
      </c>
      <c r="N24" s="5">
        <v>5.0999999999999996</v>
      </c>
      <c r="O24" s="5">
        <v>1E-3</v>
      </c>
      <c r="P24" s="5" t="b">
        <f>FALSE()</f>
        <v>0</v>
      </c>
      <c r="Q24" s="5"/>
      <c r="R24" s="5"/>
      <c r="S24" s="5"/>
      <c r="T24" s="5"/>
      <c r="U24" s="5"/>
      <c r="V24" s="5"/>
      <c r="W24" s="5" t="s">
        <v>213</v>
      </c>
    </row>
    <row r="25" spans="1:23" ht="15" customHeight="1" x14ac:dyDescent="0.2">
      <c r="A25" s="5" t="s">
        <v>75</v>
      </c>
      <c r="B25" s="5" t="s">
        <v>133</v>
      </c>
      <c r="C25" s="5" t="s">
        <v>205</v>
      </c>
      <c r="D25" s="5" t="s">
        <v>254</v>
      </c>
      <c r="E25" s="5">
        <v>30</v>
      </c>
      <c r="F25" s="5" t="s">
        <v>221</v>
      </c>
      <c r="G25" s="5"/>
      <c r="H25" s="5"/>
      <c r="I25" s="5"/>
      <c r="J25" s="5"/>
      <c r="K25" s="5" t="s">
        <v>209</v>
      </c>
      <c r="L25" s="5">
        <v>2.9</v>
      </c>
      <c r="M25" s="5">
        <v>1.04</v>
      </c>
      <c r="N25" s="5">
        <v>8</v>
      </c>
      <c r="O25" s="5"/>
      <c r="P25" s="5" t="b">
        <f>FALSE()</f>
        <v>0</v>
      </c>
      <c r="Q25" s="5"/>
      <c r="R25" s="5"/>
      <c r="S25" s="5"/>
      <c r="T25" s="5"/>
      <c r="U25" s="5"/>
      <c r="V25" s="5"/>
      <c r="W25" s="5"/>
    </row>
    <row r="26" spans="1:23" ht="15" customHeight="1" x14ac:dyDescent="0.2">
      <c r="A26" s="5" t="s">
        <v>75</v>
      </c>
      <c r="B26" s="5" t="s">
        <v>133</v>
      </c>
      <c r="C26" s="5" t="s">
        <v>205</v>
      </c>
      <c r="D26" s="5" t="s">
        <v>255</v>
      </c>
      <c r="E26" s="5">
        <v>30</v>
      </c>
      <c r="F26" s="5" t="s">
        <v>221</v>
      </c>
      <c r="G26" s="5"/>
      <c r="H26" s="5"/>
      <c r="I26" s="5"/>
      <c r="J26" s="5"/>
      <c r="K26" s="5" t="s">
        <v>209</v>
      </c>
      <c r="L26" s="5">
        <v>1.6</v>
      </c>
      <c r="M26" s="5">
        <v>1.1000000000000001</v>
      </c>
      <c r="N26" s="5">
        <v>2.4</v>
      </c>
      <c r="O26" s="5"/>
      <c r="P26" s="5" t="b">
        <f>FALSE()</f>
        <v>0</v>
      </c>
      <c r="Q26" s="5"/>
      <c r="R26" s="5"/>
      <c r="S26" s="5"/>
      <c r="T26" s="5"/>
      <c r="U26" s="5"/>
      <c r="V26" s="5"/>
      <c r="W26" s="5"/>
    </row>
    <row r="27" spans="1:23" ht="23.25" customHeight="1" x14ac:dyDescent="0.2">
      <c r="A27" s="5" t="s">
        <v>77</v>
      </c>
      <c r="B27" s="5" t="s">
        <v>133</v>
      </c>
      <c r="C27" s="5" t="s">
        <v>256</v>
      </c>
      <c r="D27" s="5" t="s">
        <v>257</v>
      </c>
      <c r="E27" s="5"/>
      <c r="F27" s="5" t="s">
        <v>258</v>
      </c>
      <c r="G27" s="5">
        <v>153</v>
      </c>
      <c r="H27" s="5">
        <v>178</v>
      </c>
      <c r="I27" s="5">
        <v>25</v>
      </c>
      <c r="J27" s="5">
        <v>178</v>
      </c>
      <c r="K27" s="5"/>
      <c r="L27" s="5"/>
      <c r="M27" s="5"/>
      <c r="N27" s="5"/>
      <c r="O27" s="5"/>
      <c r="P27" s="5" t="b">
        <f>FALSE()</f>
        <v>0</v>
      </c>
      <c r="Q27" s="5"/>
      <c r="R27" s="5"/>
      <c r="S27" s="5"/>
      <c r="T27" s="5"/>
      <c r="U27" s="5"/>
      <c r="V27" s="5"/>
      <c r="W27" s="5"/>
    </row>
    <row r="28" spans="1:23" ht="34.5" customHeight="1" x14ac:dyDescent="0.2">
      <c r="A28" s="5" t="s">
        <v>77</v>
      </c>
      <c r="B28" s="5" t="s">
        <v>133</v>
      </c>
      <c r="C28" s="5" t="s">
        <v>256</v>
      </c>
      <c r="D28" s="5" t="s">
        <v>259</v>
      </c>
      <c r="E28" s="5">
        <v>2</v>
      </c>
      <c r="F28" s="5" t="s">
        <v>234</v>
      </c>
      <c r="G28" s="5">
        <v>83</v>
      </c>
      <c r="H28" s="5">
        <v>85</v>
      </c>
      <c r="I28" s="5">
        <v>2</v>
      </c>
      <c r="J28" s="5">
        <v>85</v>
      </c>
      <c r="K28" s="5"/>
      <c r="L28" s="5"/>
      <c r="M28" s="5"/>
      <c r="N28" s="5"/>
      <c r="O28" s="5"/>
      <c r="P28" s="5" t="b">
        <f>FALSE()</f>
        <v>0</v>
      </c>
      <c r="Q28" s="5"/>
      <c r="R28" s="5"/>
      <c r="S28" s="5"/>
      <c r="T28" s="5"/>
      <c r="U28" s="5"/>
      <c r="V28" s="5"/>
      <c r="W28" s="5"/>
    </row>
    <row r="29" spans="1:23" ht="23.25" customHeight="1" x14ac:dyDescent="0.2">
      <c r="A29" s="5" t="s">
        <v>81</v>
      </c>
      <c r="B29" s="5" t="s">
        <v>133</v>
      </c>
      <c r="C29" s="5" t="s">
        <v>205</v>
      </c>
      <c r="D29" s="5" t="s">
        <v>260</v>
      </c>
      <c r="E29" s="5">
        <v>30</v>
      </c>
      <c r="F29" s="5" t="s">
        <v>221</v>
      </c>
      <c r="G29" s="5">
        <v>29</v>
      </c>
      <c r="H29" s="5">
        <v>555</v>
      </c>
      <c r="I29" s="5">
        <v>45</v>
      </c>
      <c r="J29" s="5">
        <v>329</v>
      </c>
      <c r="K29" s="5" t="s">
        <v>251</v>
      </c>
      <c r="L29" s="5">
        <v>1.1599999999999999</v>
      </c>
      <c r="M29" s="5">
        <v>1.1000000000000001</v>
      </c>
      <c r="N29" s="5">
        <v>1.22</v>
      </c>
      <c r="O29" s="5">
        <v>1E-4</v>
      </c>
      <c r="P29" s="5" t="b">
        <f>TRUE()</f>
        <v>1</v>
      </c>
      <c r="Q29" s="5" t="s">
        <v>261</v>
      </c>
      <c r="R29" s="5"/>
      <c r="S29" s="5"/>
      <c r="T29" s="5"/>
      <c r="U29" s="5"/>
      <c r="V29" s="5"/>
      <c r="W29" s="5"/>
    </row>
    <row r="30" spans="1:23" ht="23.25" customHeight="1" x14ac:dyDescent="0.2">
      <c r="A30" s="5" t="s">
        <v>81</v>
      </c>
      <c r="B30" s="5" t="s">
        <v>133</v>
      </c>
      <c r="C30" s="5" t="s">
        <v>232</v>
      </c>
      <c r="D30" s="5" t="s">
        <v>262</v>
      </c>
      <c r="E30" s="5">
        <v>3</v>
      </c>
      <c r="F30" s="5" t="s">
        <v>263</v>
      </c>
      <c r="G30" s="5"/>
      <c r="H30" s="5"/>
      <c r="I30" s="5"/>
      <c r="J30" s="5"/>
      <c r="K30" s="5" t="s">
        <v>209</v>
      </c>
      <c r="L30" s="5">
        <v>1.17</v>
      </c>
      <c r="M30" s="5">
        <v>1.06</v>
      </c>
      <c r="N30" s="5">
        <v>1.29</v>
      </c>
      <c r="O30" s="5">
        <v>2E-3</v>
      </c>
      <c r="P30" s="5" t="b">
        <f>TRUE()</f>
        <v>1</v>
      </c>
      <c r="Q30" s="5" t="s">
        <v>264</v>
      </c>
      <c r="R30" s="5"/>
      <c r="S30" s="5"/>
      <c r="T30" s="5"/>
      <c r="U30" s="5"/>
      <c r="V30" s="5"/>
      <c r="W30" s="5"/>
    </row>
    <row r="31" spans="1:23" ht="34.5" customHeight="1" x14ac:dyDescent="0.2">
      <c r="A31" s="5" t="s">
        <v>81</v>
      </c>
      <c r="B31" s="5" t="s">
        <v>133</v>
      </c>
      <c r="C31" s="5" t="s">
        <v>265</v>
      </c>
      <c r="D31" s="5" t="s">
        <v>266</v>
      </c>
      <c r="E31" s="5"/>
      <c r="F31" s="5"/>
      <c r="G31" s="5">
        <v>69</v>
      </c>
      <c r="H31" s="5">
        <v>555</v>
      </c>
      <c r="I31" s="5">
        <v>84</v>
      </c>
      <c r="J31" s="5">
        <v>329</v>
      </c>
      <c r="K31" s="5"/>
      <c r="L31" s="5"/>
      <c r="M31" s="5"/>
      <c r="N31" s="5"/>
      <c r="O31" s="5">
        <v>1E-4</v>
      </c>
      <c r="P31" s="5" t="b">
        <f>FALSE()</f>
        <v>0</v>
      </c>
      <c r="Q31" s="5"/>
      <c r="R31" s="5"/>
      <c r="S31" s="5"/>
      <c r="T31" s="5"/>
      <c r="U31" s="5"/>
      <c r="V31" s="5"/>
      <c r="W31" s="5" t="s">
        <v>213</v>
      </c>
    </row>
    <row r="32" spans="1:23" ht="45.75" customHeight="1" x14ac:dyDescent="0.2">
      <c r="A32" s="5" t="s">
        <v>83</v>
      </c>
      <c r="B32" s="5" t="s">
        <v>133</v>
      </c>
      <c r="C32" s="5" t="s">
        <v>205</v>
      </c>
      <c r="D32" s="5" t="s">
        <v>214</v>
      </c>
      <c r="E32" s="5"/>
      <c r="F32" s="5" t="s">
        <v>267</v>
      </c>
      <c r="G32" s="5"/>
      <c r="H32" s="5"/>
      <c r="I32" s="5"/>
      <c r="J32" s="5"/>
      <c r="K32" s="5"/>
      <c r="L32" s="5"/>
      <c r="M32" s="5"/>
      <c r="N32" s="5"/>
      <c r="O32" s="5">
        <v>0.33900000000000002</v>
      </c>
      <c r="P32" s="5" t="b">
        <f>TRUE()</f>
        <v>1</v>
      </c>
      <c r="Q32" s="5" t="s">
        <v>268</v>
      </c>
      <c r="R32" s="5">
        <v>-0.35799999999999998</v>
      </c>
      <c r="S32" s="5"/>
      <c r="T32" s="5">
        <v>0.69899999999999995</v>
      </c>
      <c r="U32" s="5"/>
      <c r="V32" s="5"/>
      <c r="W32" s="5"/>
    </row>
    <row r="33" spans="1:23" ht="15" customHeight="1" x14ac:dyDescent="0.2">
      <c r="A33" s="5" t="s">
        <v>86</v>
      </c>
      <c r="B33" s="5" t="s">
        <v>133</v>
      </c>
      <c r="C33" s="5" t="s">
        <v>205</v>
      </c>
      <c r="D33" s="5" t="s">
        <v>260</v>
      </c>
      <c r="E33" s="5">
        <v>30</v>
      </c>
      <c r="F33" s="5" t="s">
        <v>221</v>
      </c>
      <c r="G33" s="5">
        <v>18</v>
      </c>
      <c r="H33" s="5">
        <v>31</v>
      </c>
      <c r="I33" s="5">
        <v>6</v>
      </c>
      <c r="J33" s="5">
        <v>36</v>
      </c>
      <c r="K33" s="5"/>
      <c r="L33" s="5"/>
      <c r="M33" s="5"/>
      <c r="N33" s="5"/>
      <c r="O33" s="5">
        <v>1E-4</v>
      </c>
      <c r="P33" s="5" t="b">
        <f>FALSE()</f>
        <v>0</v>
      </c>
      <c r="Q33" s="5"/>
      <c r="R33" s="5"/>
      <c r="S33" s="5"/>
      <c r="T33" s="5"/>
      <c r="U33" s="5"/>
      <c r="V33" s="5"/>
      <c r="W33" s="5"/>
    </row>
    <row r="34" spans="1:23" ht="23.25" customHeight="1" x14ac:dyDescent="0.2">
      <c r="A34" s="5" t="s">
        <v>86</v>
      </c>
      <c r="B34" s="5" t="s">
        <v>133</v>
      </c>
      <c r="C34" s="5" t="s">
        <v>232</v>
      </c>
      <c r="D34" s="5" t="s">
        <v>269</v>
      </c>
      <c r="E34" s="5">
        <v>7</v>
      </c>
      <c r="F34" s="5" t="s">
        <v>270</v>
      </c>
      <c r="G34" s="5">
        <v>9</v>
      </c>
      <c r="H34" s="5">
        <v>31</v>
      </c>
      <c r="I34" s="5">
        <v>22</v>
      </c>
      <c r="J34" s="5">
        <v>36</v>
      </c>
      <c r="K34" s="5" t="s">
        <v>209</v>
      </c>
      <c r="L34" s="5">
        <v>14.57</v>
      </c>
      <c r="M34" s="5">
        <v>3.52</v>
      </c>
      <c r="N34" s="5">
        <v>60.34</v>
      </c>
      <c r="O34" s="5">
        <v>1E-4</v>
      </c>
      <c r="P34" s="5" t="b">
        <f>TRUE()</f>
        <v>1</v>
      </c>
      <c r="Q34" s="5" t="s">
        <v>271</v>
      </c>
      <c r="R34" s="5"/>
      <c r="S34" s="5"/>
      <c r="T34" s="5"/>
      <c r="U34" s="5"/>
      <c r="V34" s="5"/>
      <c r="W34" s="5"/>
    </row>
    <row r="35" spans="1:23" ht="57" customHeight="1" x14ac:dyDescent="0.2">
      <c r="A35" s="5" t="s">
        <v>88</v>
      </c>
      <c r="B35" s="5" t="s">
        <v>133</v>
      </c>
      <c r="C35" s="5" t="s">
        <v>205</v>
      </c>
      <c r="D35" s="5" t="s">
        <v>272</v>
      </c>
      <c r="E35" s="5">
        <v>28</v>
      </c>
      <c r="F35" s="5" t="s">
        <v>207</v>
      </c>
      <c r="G35" s="5"/>
      <c r="H35" s="5"/>
      <c r="I35" s="5"/>
      <c r="J35" s="5"/>
      <c r="K35" s="5" t="s">
        <v>209</v>
      </c>
      <c r="L35" s="5">
        <v>1.85</v>
      </c>
      <c r="M35" s="5">
        <v>1.22</v>
      </c>
      <c r="N35" s="5">
        <v>2.81</v>
      </c>
      <c r="O35" s="5">
        <v>4.0000000000000001E-3</v>
      </c>
      <c r="P35" s="5" t="b">
        <f>TRUE()</f>
        <v>1</v>
      </c>
      <c r="Q35" s="5" t="s">
        <v>273</v>
      </c>
      <c r="R35" s="5"/>
      <c r="S35" s="5"/>
      <c r="T35" s="5">
        <v>1.85</v>
      </c>
      <c r="U35" s="5">
        <v>1.22</v>
      </c>
      <c r="V35" s="5">
        <v>2.81</v>
      </c>
      <c r="W35" s="5" t="s">
        <v>274</v>
      </c>
    </row>
    <row r="36" spans="1:23" ht="34.5" customHeight="1" x14ac:dyDescent="0.2">
      <c r="A36" s="5" t="s">
        <v>88</v>
      </c>
      <c r="B36" s="5" t="s">
        <v>133</v>
      </c>
      <c r="C36" s="5" t="s">
        <v>232</v>
      </c>
      <c r="D36" s="5" t="s">
        <v>275</v>
      </c>
      <c r="E36" s="5"/>
      <c r="F36" s="5" t="s">
        <v>276</v>
      </c>
      <c r="G36" s="5"/>
      <c r="H36" s="5"/>
      <c r="I36" s="5"/>
      <c r="J36" s="5"/>
      <c r="K36" s="5"/>
      <c r="L36" s="5"/>
      <c r="M36" s="5"/>
      <c r="N36" s="5"/>
      <c r="O36" s="5">
        <v>4.0000000000000001E-3</v>
      </c>
      <c r="P36" s="5" t="b">
        <f>TRUE()</f>
        <v>1</v>
      </c>
      <c r="Q36" s="5" t="s">
        <v>277</v>
      </c>
      <c r="R36" s="5"/>
      <c r="S36" s="5"/>
      <c r="T36" s="5">
        <v>1.83</v>
      </c>
      <c r="U36" s="5">
        <v>1.22</v>
      </c>
      <c r="V36" s="5">
        <v>2.76</v>
      </c>
      <c r="W36" s="5"/>
    </row>
    <row r="37" spans="1:23" ht="15" customHeight="1" x14ac:dyDescent="0.2">
      <c r="A37" s="5" t="s">
        <v>92</v>
      </c>
      <c r="B37" s="5" t="s">
        <v>133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45.75" customHeight="1" x14ac:dyDescent="0.2">
      <c r="A38" s="5" t="s">
        <v>96</v>
      </c>
      <c r="B38" s="5" t="s">
        <v>133</v>
      </c>
      <c r="C38" s="5" t="s">
        <v>232</v>
      </c>
      <c r="D38" s="5" t="s">
        <v>278</v>
      </c>
      <c r="E38" s="5"/>
      <c r="F38" s="5"/>
      <c r="G38" s="5"/>
      <c r="H38" s="5"/>
      <c r="I38" s="5"/>
      <c r="J38" s="5"/>
      <c r="K38" s="5"/>
      <c r="L38" s="5">
        <v>-0.36</v>
      </c>
      <c r="M38" s="5">
        <v>-0.69</v>
      </c>
      <c r="N38" s="5">
        <v>-0.02</v>
      </c>
      <c r="O38" s="5">
        <v>3.6999999999999998E-2</v>
      </c>
      <c r="P38" s="5" t="b">
        <f>TRUE()</f>
        <v>1</v>
      </c>
      <c r="Q38" s="5" t="s">
        <v>279</v>
      </c>
      <c r="R38" s="5">
        <v>-0.36</v>
      </c>
      <c r="S38" s="5"/>
      <c r="T38" s="5"/>
      <c r="U38" s="5"/>
      <c r="V38" s="5"/>
      <c r="W38" s="5"/>
    </row>
    <row r="39" spans="1:23" ht="34.5" customHeight="1" x14ac:dyDescent="0.2">
      <c r="A39" s="5" t="s">
        <v>100</v>
      </c>
      <c r="B39" s="5" t="s">
        <v>133</v>
      </c>
      <c r="C39" s="5" t="s">
        <v>205</v>
      </c>
      <c r="D39" s="5" t="s">
        <v>280</v>
      </c>
      <c r="E39" s="5">
        <v>14</v>
      </c>
      <c r="F39" s="5" t="s">
        <v>281</v>
      </c>
      <c r="G39" s="5">
        <v>11</v>
      </c>
      <c r="H39" s="5">
        <v>84</v>
      </c>
      <c r="I39" s="5">
        <v>1</v>
      </c>
      <c r="J39" s="5">
        <v>161</v>
      </c>
      <c r="K39" s="5" t="s">
        <v>282</v>
      </c>
      <c r="L39" s="5">
        <v>19.600000000000001</v>
      </c>
      <c r="M39" s="5">
        <v>2.31</v>
      </c>
      <c r="N39" s="5">
        <v>167</v>
      </c>
      <c r="O39" s="5">
        <v>6.0000000000000001E-3</v>
      </c>
      <c r="P39" s="5" t="b">
        <f>TRUE()</f>
        <v>1</v>
      </c>
      <c r="Q39" s="5" t="s">
        <v>283</v>
      </c>
      <c r="R39" s="5"/>
      <c r="S39" s="5"/>
      <c r="T39" s="5"/>
      <c r="U39" s="5"/>
      <c r="V39" s="5"/>
      <c r="W39" s="5"/>
    </row>
    <row r="40" spans="1:23" ht="15" customHeight="1" x14ac:dyDescent="0.2">
      <c r="A40" s="5" t="s">
        <v>105</v>
      </c>
      <c r="B40" s="5" t="s">
        <v>133</v>
      </c>
      <c r="C40" s="5" t="s">
        <v>205</v>
      </c>
      <c r="D40" s="5" t="s">
        <v>214</v>
      </c>
      <c r="E40" s="5">
        <v>30</v>
      </c>
      <c r="F40" s="5" t="s">
        <v>220</v>
      </c>
      <c r="G40" s="5">
        <v>9</v>
      </c>
      <c r="H40" s="5">
        <v>30</v>
      </c>
      <c r="I40" s="5">
        <v>8</v>
      </c>
      <c r="J40" s="5">
        <v>30</v>
      </c>
      <c r="K40" s="5" t="s">
        <v>209</v>
      </c>
      <c r="L40" s="5">
        <v>9.6999999999999993</v>
      </c>
      <c r="M40" s="5">
        <v>1.6</v>
      </c>
      <c r="N40" s="5">
        <v>59</v>
      </c>
      <c r="O40" s="5">
        <v>0.01</v>
      </c>
      <c r="P40" s="5" t="b">
        <f>FALSE()</f>
        <v>0</v>
      </c>
      <c r="Q40" s="5"/>
      <c r="R40" s="5"/>
      <c r="S40" s="5"/>
      <c r="T40" s="5"/>
      <c r="U40" s="5"/>
      <c r="V40" s="5"/>
      <c r="W40" s="5"/>
    </row>
    <row r="41" spans="1:23" ht="34.5" customHeight="1" x14ac:dyDescent="0.2">
      <c r="A41" s="5" t="s">
        <v>108</v>
      </c>
      <c r="B41" s="5" t="s">
        <v>133</v>
      </c>
      <c r="C41" s="5" t="s">
        <v>205</v>
      </c>
      <c r="D41" s="5" t="s">
        <v>284</v>
      </c>
      <c r="E41" s="5">
        <v>30</v>
      </c>
      <c r="F41" s="5" t="s">
        <v>285</v>
      </c>
      <c r="G41" s="5">
        <v>25</v>
      </c>
      <c r="H41" s="5">
        <v>105</v>
      </c>
      <c r="I41" s="5">
        <v>48</v>
      </c>
      <c r="J41" s="5">
        <v>404</v>
      </c>
      <c r="K41" s="5" t="s">
        <v>209</v>
      </c>
      <c r="L41" s="5">
        <v>2.64</v>
      </c>
      <c r="M41" s="5">
        <v>1.28</v>
      </c>
      <c r="N41" s="5">
        <v>5.444</v>
      </c>
      <c r="O41" s="5">
        <v>8.9999999999999993E-3</v>
      </c>
      <c r="P41" s="5" t="b">
        <f>TRUE()</f>
        <v>1</v>
      </c>
      <c r="Q41" s="5" t="s">
        <v>286</v>
      </c>
      <c r="R41" s="5">
        <v>1.0249999999999999</v>
      </c>
      <c r="S41" s="5"/>
      <c r="T41" s="5">
        <v>2.7879999999999998</v>
      </c>
      <c r="U41" s="5">
        <v>1.36</v>
      </c>
      <c r="V41" s="5">
        <v>5.7160000000000002</v>
      </c>
      <c r="W41" s="5"/>
    </row>
    <row r="42" spans="1:23" ht="15" customHeight="1" x14ac:dyDescent="0.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5" customHeight="1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5" customHeight="1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5" customHeight="1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5" customHeight="1" x14ac:dyDescent="0.2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5" customHeight="1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5" customHeight="1" x14ac:dyDescent="0.2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5" customHeight="1" x14ac:dyDescent="0.2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5" customHeight="1" x14ac:dyDescent="0.2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5" customHeight="1" x14ac:dyDescent="0.2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</sheetData>
  <dataValidations count="3">
    <dataValidation type="list" allowBlank="1" sqref="C2:C52" xr:uid="{00000000-0002-0000-0400-000000000000}">
      <formula1>"persistent_bacteremia,relapse,microbiological_clearance,mortality"</formula1>
      <formula2>0</formula2>
    </dataValidation>
    <dataValidation type="list" allowBlank="1" sqref="K2:K52" xr:uid="{00000000-0002-0000-0400-000001000000}">
      <formula1>"OR,RR,HR,IRR"</formula1>
      <formula2>0</formula2>
    </dataValidation>
    <dataValidation type="list" allowBlank="1" sqref="P2:P52" xr:uid="{00000000-0002-0000-0400-000002000000}">
      <formula1>"TRUE,FALSE"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Q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8" customWidth="1"/>
    <col min="2" max="2" width="16" customWidth="1"/>
    <col min="3" max="3" width="12" customWidth="1"/>
    <col min="4" max="4" width="22" customWidth="1"/>
    <col min="5" max="6" width="14" customWidth="1"/>
    <col min="7" max="8" width="12" customWidth="1"/>
    <col min="9" max="9" width="22" customWidth="1"/>
    <col min="10" max="11" width="18" customWidth="1"/>
    <col min="12" max="12" width="16" customWidth="1"/>
    <col min="13" max="14" width="18" customWidth="1"/>
    <col min="15" max="15" width="22" customWidth="1"/>
    <col min="16" max="16" width="20" customWidth="1"/>
    <col min="17" max="17" width="14" customWidth="1"/>
  </cols>
  <sheetData>
    <row r="1" spans="1:17" ht="30" customHeight="1" x14ac:dyDescent="0.2">
      <c r="A1" s="4" t="s">
        <v>287</v>
      </c>
      <c r="B1" s="4" t="s">
        <v>25</v>
      </c>
      <c r="C1" s="4" t="s">
        <v>112</v>
      </c>
      <c r="D1" s="4" t="s">
        <v>187</v>
      </c>
      <c r="E1" s="4" t="s">
        <v>288</v>
      </c>
      <c r="F1" s="4" t="s">
        <v>289</v>
      </c>
      <c r="G1" s="4" t="s">
        <v>290</v>
      </c>
      <c r="H1" s="4" t="s">
        <v>291</v>
      </c>
      <c r="I1" s="4" t="s">
        <v>292</v>
      </c>
      <c r="J1" s="4" t="s">
        <v>120</v>
      </c>
      <c r="K1" s="4" t="s">
        <v>293</v>
      </c>
      <c r="L1" s="4" t="s">
        <v>124</v>
      </c>
      <c r="M1" s="4" t="s">
        <v>123</v>
      </c>
      <c r="N1" s="4" t="s">
        <v>171</v>
      </c>
      <c r="O1" s="4" t="s">
        <v>129</v>
      </c>
      <c r="P1" s="4" t="s">
        <v>131</v>
      </c>
      <c r="Q1" s="4" t="s">
        <v>41</v>
      </c>
    </row>
    <row r="2" spans="1:17" ht="15" customHeight="1" x14ac:dyDescent="0.2">
      <c r="A2" s="10" t="s">
        <v>294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ht="1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" customHeight="1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" customHeight="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" customHeight="1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" customHeight="1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" customHeight="1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" customHeight="1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" customHeight="1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</sheetData>
  <mergeCells count="1">
    <mergeCell ref="A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04040"/>
  </sheetPr>
  <dimension ref="A1:F10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customHeight="1" x14ac:dyDescent="0.2"/>
  <cols>
    <col min="1" max="1" width="18" customWidth="1"/>
    <col min="2" max="2" width="28" customWidth="1"/>
    <col min="3" max="3" width="12" customWidth="1"/>
    <col min="4" max="4" width="10" customWidth="1"/>
    <col min="5" max="6" width="50" customWidth="1"/>
  </cols>
  <sheetData>
    <row r="1" spans="1:6" ht="15" customHeight="1" x14ac:dyDescent="0.2">
      <c r="A1" s="4" t="s">
        <v>295</v>
      </c>
      <c r="B1" s="4" t="s">
        <v>296</v>
      </c>
      <c r="C1" s="4" t="s">
        <v>297</v>
      </c>
      <c r="D1" s="4" t="s">
        <v>298</v>
      </c>
      <c r="E1" s="4" t="s">
        <v>299</v>
      </c>
      <c r="F1" s="4" t="s">
        <v>300</v>
      </c>
    </row>
    <row r="2" spans="1:6" ht="15" customHeight="1" x14ac:dyDescent="0.2">
      <c r="A2" s="7" t="s">
        <v>301</v>
      </c>
      <c r="B2" s="8"/>
      <c r="C2" s="8"/>
      <c r="D2" s="8"/>
      <c r="E2" s="8"/>
      <c r="F2" s="8"/>
    </row>
    <row r="3" spans="1:6" ht="15" customHeight="1" x14ac:dyDescent="0.2">
      <c r="A3" s="9" t="s">
        <v>301</v>
      </c>
      <c r="B3" s="9" t="s">
        <v>25</v>
      </c>
      <c r="C3" s="9" t="s">
        <v>302</v>
      </c>
      <c r="D3" s="9" t="s">
        <v>303</v>
      </c>
      <c r="E3" s="9" t="s">
        <v>304</v>
      </c>
      <c r="F3" s="9" t="s">
        <v>305</v>
      </c>
    </row>
    <row r="4" spans="1:6" ht="15" customHeight="1" x14ac:dyDescent="0.2">
      <c r="A4" s="9" t="s">
        <v>301</v>
      </c>
      <c r="B4" s="9" t="s">
        <v>26</v>
      </c>
      <c r="C4" s="9" t="s">
        <v>302</v>
      </c>
      <c r="D4" s="9" t="s">
        <v>303</v>
      </c>
      <c r="E4" s="9" t="s">
        <v>306</v>
      </c>
      <c r="F4" s="9" t="s">
        <v>307</v>
      </c>
    </row>
    <row r="5" spans="1:6" ht="15" customHeight="1" x14ac:dyDescent="0.2">
      <c r="A5" s="9" t="s">
        <v>301</v>
      </c>
      <c r="B5" s="9" t="s">
        <v>27</v>
      </c>
      <c r="C5" s="9" t="s">
        <v>308</v>
      </c>
      <c r="D5" s="9" t="s">
        <v>303</v>
      </c>
      <c r="E5" s="9" t="s">
        <v>309</v>
      </c>
      <c r="F5" s="9" t="s">
        <v>310</v>
      </c>
    </row>
    <row r="6" spans="1:6" ht="15" customHeight="1" x14ac:dyDescent="0.2">
      <c r="A6" s="9" t="s">
        <v>301</v>
      </c>
      <c r="B6" s="9" t="s">
        <v>28</v>
      </c>
      <c r="C6" s="9" t="s">
        <v>302</v>
      </c>
      <c r="D6" s="9" t="s">
        <v>303</v>
      </c>
      <c r="E6" s="9" t="s">
        <v>311</v>
      </c>
      <c r="F6" s="9" t="s">
        <v>312</v>
      </c>
    </row>
    <row r="7" spans="1:6" ht="15" customHeight="1" x14ac:dyDescent="0.2">
      <c r="A7" s="9" t="s">
        <v>301</v>
      </c>
      <c r="B7" s="9" t="s">
        <v>29</v>
      </c>
      <c r="C7" s="9" t="s">
        <v>313</v>
      </c>
      <c r="D7" s="9" t="s">
        <v>303</v>
      </c>
      <c r="E7" s="9" t="s">
        <v>314</v>
      </c>
      <c r="F7" s="9" t="s">
        <v>315</v>
      </c>
    </row>
    <row r="8" spans="1:6" ht="15" customHeight="1" x14ac:dyDescent="0.2">
      <c r="A8" s="9" t="s">
        <v>301</v>
      </c>
      <c r="B8" s="9" t="s">
        <v>30</v>
      </c>
      <c r="C8" s="9" t="s">
        <v>316</v>
      </c>
      <c r="D8" s="9" t="s">
        <v>317</v>
      </c>
      <c r="E8" s="9" t="s">
        <v>318</v>
      </c>
      <c r="F8" s="9" t="s">
        <v>319</v>
      </c>
    </row>
    <row r="9" spans="1:6" ht="15" customHeight="1" x14ac:dyDescent="0.2">
      <c r="A9" s="9" t="s">
        <v>301</v>
      </c>
      <c r="B9" s="9" t="s">
        <v>31</v>
      </c>
      <c r="C9" s="9" t="s">
        <v>316</v>
      </c>
      <c r="D9" s="9" t="s">
        <v>317</v>
      </c>
      <c r="E9" s="9" t="s">
        <v>320</v>
      </c>
      <c r="F9" s="9" t="s">
        <v>319</v>
      </c>
    </row>
    <row r="10" spans="1:6" ht="15" customHeight="1" x14ac:dyDescent="0.2">
      <c r="A10" s="9" t="s">
        <v>301</v>
      </c>
      <c r="B10" s="9" t="s">
        <v>32</v>
      </c>
      <c r="C10" s="9" t="s">
        <v>321</v>
      </c>
      <c r="D10" s="9" t="s">
        <v>303</v>
      </c>
      <c r="E10" s="9" t="s">
        <v>322</v>
      </c>
      <c r="F10" s="9" t="s">
        <v>323</v>
      </c>
    </row>
    <row r="11" spans="1:6" ht="15" customHeight="1" x14ac:dyDescent="0.2">
      <c r="A11" s="9" t="s">
        <v>301</v>
      </c>
      <c r="B11" s="9" t="s">
        <v>33</v>
      </c>
      <c r="C11" s="9" t="s">
        <v>308</v>
      </c>
      <c r="D11" s="9" t="s">
        <v>317</v>
      </c>
      <c r="E11" s="9" t="s">
        <v>324</v>
      </c>
      <c r="F11" s="9" t="s">
        <v>325</v>
      </c>
    </row>
    <row r="12" spans="1:6" ht="15" customHeight="1" x14ac:dyDescent="0.2">
      <c r="A12" s="9" t="s">
        <v>301</v>
      </c>
      <c r="B12" s="9" t="s">
        <v>34</v>
      </c>
      <c r="C12" s="9" t="s">
        <v>313</v>
      </c>
      <c r="D12" s="9" t="s">
        <v>317</v>
      </c>
      <c r="E12" s="9" t="s">
        <v>326</v>
      </c>
      <c r="F12" s="9" t="s">
        <v>327</v>
      </c>
    </row>
    <row r="13" spans="1:6" ht="15" customHeight="1" x14ac:dyDescent="0.2">
      <c r="A13" s="9" t="s">
        <v>301</v>
      </c>
      <c r="B13" s="9" t="s">
        <v>35</v>
      </c>
      <c r="C13" s="9" t="s">
        <v>308</v>
      </c>
      <c r="D13" s="9" t="s">
        <v>303</v>
      </c>
      <c r="E13" s="9" t="s">
        <v>328</v>
      </c>
      <c r="F13" s="9" t="s">
        <v>329</v>
      </c>
    </row>
    <row r="14" spans="1:6" ht="15" customHeight="1" x14ac:dyDescent="0.2">
      <c r="A14" s="9" t="s">
        <v>301</v>
      </c>
      <c r="B14" s="9" t="s">
        <v>36</v>
      </c>
      <c r="C14" s="9" t="s">
        <v>308</v>
      </c>
      <c r="D14" s="9" t="s">
        <v>303</v>
      </c>
      <c r="E14" s="9" t="s">
        <v>330</v>
      </c>
      <c r="F14" s="9" t="s">
        <v>329</v>
      </c>
    </row>
    <row r="15" spans="1:6" ht="15" customHeight="1" x14ac:dyDescent="0.2">
      <c r="A15" s="9" t="s">
        <v>301</v>
      </c>
      <c r="B15" s="9" t="s">
        <v>37</v>
      </c>
      <c r="C15" s="9" t="s">
        <v>308</v>
      </c>
      <c r="D15" s="9" t="s">
        <v>303</v>
      </c>
      <c r="E15" s="9" t="s">
        <v>331</v>
      </c>
      <c r="F15" s="9" t="s">
        <v>329</v>
      </c>
    </row>
    <row r="16" spans="1:6" ht="15" customHeight="1" x14ac:dyDescent="0.2">
      <c r="A16" s="9" t="s">
        <v>301</v>
      </c>
      <c r="B16" s="9" t="s">
        <v>38</v>
      </c>
      <c r="C16" s="9" t="s">
        <v>308</v>
      </c>
      <c r="D16" s="9" t="s">
        <v>303</v>
      </c>
      <c r="E16" s="9" t="s">
        <v>332</v>
      </c>
      <c r="F16" s="9" t="s">
        <v>329</v>
      </c>
    </row>
    <row r="17" spans="1:6" ht="15" customHeight="1" x14ac:dyDescent="0.2">
      <c r="A17" s="9" t="s">
        <v>301</v>
      </c>
      <c r="B17" s="9" t="s">
        <v>39</v>
      </c>
      <c r="C17" s="9" t="s">
        <v>308</v>
      </c>
      <c r="D17" s="9" t="s">
        <v>303</v>
      </c>
      <c r="E17" s="9" t="s">
        <v>333</v>
      </c>
      <c r="F17" s="9" t="s">
        <v>329</v>
      </c>
    </row>
    <row r="18" spans="1:6" ht="15" customHeight="1" x14ac:dyDescent="0.2">
      <c r="A18" s="9" t="s">
        <v>301</v>
      </c>
      <c r="B18" s="9" t="s">
        <v>40</v>
      </c>
      <c r="C18" s="9" t="s">
        <v>308</v>
      </c>
      <c r="D18" s="9" t="s">
        <v>303</v>
      </c>
      <c r="E18" s="9" t="s">
        <v>334</v>
      </c>
      <c r="F18" s="9" t="s">
        <v>329</v>
      </c>
    </row>
    <row r="19" spans="1:6" ht="15" customHeight="1" x14ac:dyDescent="0.2">
      <c r="A19" s="9" t="s">
        <v>301</v>
      </c>
      <c r="B19" s="9" t="s">
        <v>41</v>
      </c>
      <c r="C19" s="9" t="s">
        <v>313</v>
      </c>
      <c r="D19" s="9" t="s">
        <v>303</v>
      </c>
      <c r="E19" s="9" t="s">
        <v>335</v>
      </c>
      <c r="F19" s="9" t="s">
        <v>336</v>
      </c>
    </row>
    <row r="20" spans="1:6" ht="15" customHeight="1" x14ac:dyDescent="0.2">
      <c r="A20" s="9" t="s">
        <v>301</v>
      </c>
      <c r="B20" s="9" t="s">
        <v>42</v>
      </c>
      <c r="C20" s="9" t="s">
        <v>308</v>
      </c>
      <c r="D20" s="9" t="s">
        <v>317</v>
      </c>
      <c r="E20" s="9" t="s">
        <v>337</v>
      </c>
      <c r="F20" s="9" t="s">
        <v>338</v>
      </c>
    </row>
    <row r="21" spans="1:6" ht="15" customHeight="1" x14ac:dyDescent="0.2">
      <c r="A21" s="9" t="s">
        <v>301</v>
      </c>
      <c r="B21" s="9" t="s">
        <v>43</v>
      </c>
      <c r="C21" s="9" t="s">
        <v>302</v>
      </c>
      <c r="D21" s="9" t="s">
        <v>317</v>
      </c>
      <c r="E21" s="9" t="s">
        <v>339</v>
      </c>
      <c r="F21" s="9" t="s">
        <v>307</v>
      </c>
    </row>
    <row r="22" spans="1:6" ht="15" customHeight="1" x14ac:dyDescent="0.2">
      <c r="A22" s="7" t="s">
        <v>340</v>
      </c>
      <c r="B22" s="8"/>
      <c r="C22" s="8"/>
      <c r="D22" s="8"/>
      <c r="E22" s="8"/>
      <c r="F22" s="8"/>
    </row>
    <row r="23" spans="1:6" ht="15" customHeight="1" x14ac:dyDescent="0.2">
      <c r="A23" s="9" t="s">
        <v>340</v>
      </c>
      <c r="B23" s="9" t="s">
        <v>25</v>
      </c>
      <c r="C23" s="9" t="s">
        <v>302</v>
      </c>
      <c r="D23" s="9" t="s">
        <v>303</v>
      </c>
      <c r="E23" s="9" t="s">
        <v>341</v>
      </c>
      <c r="F23" s="9" t="s">
        <v>342</v>
      </c>
    </row>
    <row r="24" spans="1:6" ht="15" customHeight="1" x14ac:dyDescent="0.2">
      <c r="A24" s="9" t="s">
        <v>340</v>
      </c>
      <c r="B24" s="9" t="s">
        <v>112</v>
      </c>
      <c r="C24" s="9" t="s">
        <v>302</v>
      </c>
      <c r="D24" s="9" t="s">
        <v>303</v>
      </c>
      <c r="E24" s="9" t="s">
        <v>343</v>
      </c>
      <c r="F24" s="9" t="s">
        <v>344</v>
      </c>
    </row>
    <row r="25" spans="1:6" ht="15" customHeight="1" x14ac:dyDescent="0.2">
      <c r="A25" s="9" t="s">
        <v>340</v>
      </c>
      <c r="B25" s="9" t="s">
        <v>113</v>
      </c>
      <c r="C25" s="9" t="s">
        <v>308</v>
      </c>
      <c r="D25" s="9" t="s">
        <v>303</v>
      </c>
      <c r="E25" s="9" t="s">
        <v>345</v>
      </c>
      <c r="F25" s="9" t="s">
        <v>325</v>
      </c>
    </row>
    <row r="26" spans="1:6" ht="15" customHeight="1" x14ac:dyDescent="0.2">
      <c r="A26" s="9" t="s">
        <v>340</v>
      </c>
      <c r="B26" s="9" t="s">
        <v>114</v>
      </c>
      <c r="C26" s="9" t="s">
        <v>346</v>
      </c>
      <c r="D26" s="9" t="s">
        <v>317</v>
      </c>
      <c r="E26" s="9" t="s">
        <v>347</v>
      </c>
      <c r="F26" s="9" t="s">
        <v>348</v>
      </c>
    </row>
    <row r="27" spans="1:6" ht="15" customHeight="1" x14ac:dyDescent="0.2">
      <c r="A27" s="9" t="s">
        <v>340</v>
      </c>
      <c r="B27" s="9" t="s">
        <v>115</v>
      </c>
      <c r="C27" s="9" t="s">
        <v>346</v>
      </c>
      <c r="D27" s="9" t="s">
        <v>317</v>
      </c>
      <c r="E27" s="9" t="s">
        <v>349</v>
      </c>
      <c r="F27" s="9" t="s">
        <v>350</v>
      </c>
    </row>
    <row r="28" spans="1:6" ht="15" customHeight="1" x14ac:dyDescent="0.2">
      <c r="A28" s="9" t="s">
        <v>340</v>
      </c>
      <c r="B28" s="9" t="s">
        <v>116</v>
      </c>
      <c r="C28" s="9" t="s">
        <v>346</v>
      </c>
      <c r="D28" s="9" t="s">
        <v>317</v>
      </c>
      <c r="E28" s="9" t="s">
        <v>351</v>
      </c>
      <c r="F28" s="9" t="s">
        <v>348</v>
      </c>
    </row>
    <row r="29" spans="1:6" ht="15" customHeight="1" x14ac:dyDescent="0.2">
      <c r="A29" s="9" t="s">
        <v>340</v>
      </c>
      <c r="B29" s="9" t="s">
        <v>117</v>
      </c>
      <c r="C29" s="9" t="s">
        <v>346</v>
      </c>
      <c r="D29" s="9" t="s">
        <v>317</v>
      </c>
      <c r="E29" s="9" t="s">
        <v>352</v>
      </c>
      <c r="F29" s="9" t="s">
        <v>348</v>
      </c>
    </row>
    <row r="30" spans="1:6" ht="15" customHeight="1" x14ac:dyDescent="0.2">
      <c r="A30" s="9" t="s">
        <v>340</v>
      </c>
      <c r="B30" s="9" t="s">
        <v>118</v>
      </c>
      <c r="C30" s="9" t="s">
        <v>346</v>
      </c>
      <c r="D30" s="9" t="s">
        <v>317</v>
      </c>
      <c r="E30" s="9" t="s">
        <v>353</v>
      </c>
      <c r="F30" s="9" t="s">
        <v>348</v>
      </c>
    </row>
    <row r="31" spans="1:6" ht="15" customHeight="1" x14ac:dyDescent="0.2">
      <c r="A31" s="9" t="s">
        <v>340</v>
      </c>
      <c r="B31" s="9" t="s">
        <v>119</v>
      </c>
      <c r="C31" s="9" t="s">
        <v>346</v>
      </c>
      <c r="D31" s="9" t="s">
        <v>317</v>
      </c>
      <c r="E31" s="9" t="s">
        <v>354</v>
      </c>
      <c r="F31" s="9" t="s">
        <v>355</v>
      </c>
    </row>
    <row r="32" spans="1:6" ht="15" customHeight="1" x14ac:dyDescent="0.2">
      <c r="A32" s="9" t="s">
        <v>340</v>
      </c>
      <c r="B32" s="9" t="s">
        <v>120</v>
      </c>
      <c r="C32" s="9" t="s">
        <v>313</v>
      </c>
      <c r="D32" s="9" t="s">
        <v>303</v>
      </c>
      <c r="E32" s="9" t="s">
        <v>356</v>
      </c>
      <c r="F32" s="9" t="s">
        <v>357</v>
      </c>
    </row>
    <row r="33" spans="1:6" ht="15" customHeight="1" x14ac:dyDescent="0.2">
      <c r="A33" s="9" t="s">
        <v>340</v>
      </c>
      <c r="B33" s="9" t="s">
        <v>121</v>
      </c>
      <c r="C33" s="9" t="s">
        <v>302</v>
      </c>
      <c r="D33" s="9" t="s">
        <v>317</v>
      </c>
      <c r="E33" s="9" t="s">
        <v>358</v>
      </c>
      <c r="F33" s="9" t="s">
        <v>359</v>
      </c>
    </row>
    <row r="34" spans="1:6" ht="15" customHeight="1" x14ac:dyDescent="0.2">
      <c r="A34" s="9" t="s">
        <v>340</v>
      </c>
      <c r="B34" s="9" t="s">
        <v>122</v>
      </c>
      <c r="C34" s="9" t="s">
        <v>346</v>
      </c>
      <c r="D34" s="9" t="s">
        <v>317</v>
      </c>
      <c r="E34" s="9" t="s">
        <v>360</v>
      </c>
      <c r="F34" s="9" t="s">
        <v>355</v>
      </c>
    </row>
    <row r="35" spans="1:6" ht="27.75" customHeight="1" x14ac:dyDescent="0.2">
      <c r="A35" s="9" t="s">
        <v>340</v>
      </c>
      <c r="B35" s="9" t="s">
        <v>123</v>
      </c>
      <c r="C35" s="9" t="s">
        <v>313</v>
      </c>
      <c r="D35" s="9" t="s">
        <v>317</v>
      </c>
      <c r="E35" s="9" t="s">
        <v>361</v>
      </c>
      <c r="F35" s="9" t="s">
        <v>362</v>
      </c>
    </row>
    <row r="36" spans="1:6" ht="15" customHeight="1" x14ac:dyDescent="0.2">
      <c r="A36" s="9" t="s">
        <v>340</v>
      </c>
      <c r="B36" s="9" t="s">
        <v>124</v>
      </c>
      <c r="C36" s="9" t="s">
        <v>313</v>
      </c>
      <c r="D36" s="9" t="s">
        <v>317</v>
      </c>
      <c r="E36" s="9" t="s">
        <v>363</v>
      </c>
      <c r="F36" s="9" t="s">
        <v>364</v>
      </c>
    </row>
    <row r="37" spans="1:6" ht="15" customHeight="1" x14ac:dyDescent="0.2">
      <c r="A37" s="9" t="s">
        <v>340</v>
      </c>
      <c r="B37" s="9" t="s">
        <v>125</v>
      </c>
      <c r="C37" s="9" t="s">
        <v>346</v>
      </c>
      <c r="D37" s="9" t="s">
        <v>317</v>
      </c>
      <c r="E37" s="9" t="s">
        <v>365</v>
      </c>
      <c r="F37" s="9" t="s">
        <v>355</v>
      </c>
    </row>
    <row r="38" spans="1:6" ht="15" customHeight="1" x14ac:dyDescent="0.2">
      <c r="A38" s="9" t="s">
        <v>340</v>
      </c>
      <c r="B38" s="9" t="s">
        <v>126</v>
      </c>
      <c r="C38" s="9" t="s">
        <v>313</v>
      </c>
      <c r="D38" s="9" t="s">
        <v>317</v>
      </c>
      <c r="E38" s="9" t="s">
        <v>366</v>
      </c>
      <c r="F38" s="9" t="s">
        <v>367</v>
      </c>
    </row>
    <row r="39" spans="1:6" ht="15" customHeight="1" x14ac:dyDescent="0.2">
      <c r="A39" s="9" t="s">
        <v>340</v>
      </c>
      <c r="B39" s="9" t="s">
        <v>127</v>
      </c>
      <c r="C39" s="9" t="s">
        <v>346</v>
      </c>
      <c r="D39" s="9" t="s">
        <v>317</v>
      </c>
      <c r="E39" s="9" t="s">
        <v>368</v>
      </c>
      <c r="F39" s="9" t="s">
        <v>348</v>
      </c>
    </row>
    <row r="40" spans="1:6" ht="15" customHeight="1" x14ac:dyDescent="0.2">
      <c r="A40" s="9" t="s">
        <v>340</v>
      </c>
      <c r="B40" s="9" t="s">
        <v>128</v>
      </c>
      <c r="C40" s="9" t="s">
        <v>346</v>
      </c>
      <c r="D40" s="9" t="s">
        <v>317</v>
      </c>
      <c r="E40" s="9" t="s">
        <v>369</v>
      </c>
      <c r="F40" s="9" t="s">
        <v>348</v>
      </c>
    </row>
    <row r="41" spans="1:6" ht="15" customHeight="1" x14ac:dyDescent="0.2">
      <c r="A41" s="9" t="s">
        <v>340</v>
      </c>
      <c r="B41" s="9" t="s">
        <v>129</v>
      </c>
      <c r="C41" s="9" t="s">
        <v>346</v>
      </c>
      <c r="D41" s="9" t="s">
        <v>317</v>
      </c>
      <c r="E41" s="9" t="s">
        <v>370</v>
      </c>
      <c r="F41" s="9" t="s">
        <v>355</v>
      </c>
    </row>
    <row r="42" spans="1:6" ht="15" customHeight="1" x14ac:dyDescent="0.2">
      <c r="A42" s="9" t="s">
        <v>340</v>
      </c>
      <c r="B42" s="9" t="s">
        <v>130</v>
      </c>
      <c r="C42" s="9" t="s">
        <v>302</v>
      </c>
      <c r="D42" s="9" t="s">
        <v>317</v>
      </c>
      <c r="E42" s="9" t="s">
        <v>371</v>
      </c>
      <c r="F42" s="9" t="s">
        <v>307</v>
      </c>
    </row>
    <row r="43" spans="1:6" ht="15" customHeight="1" x14ac:dyDescent="0.2">
      <c r="A43" s="9" t="s">
        <v>340</v>
      </c>
      <c r="B43" s="9" t="s">
        <v>131</v>
      </c>
      <c r="C43" s="9" t="s">
        <v>313</v>
      </c>
      <c r="D43" s="9" t="s">
        <v>317</v>
      </c>
      <c r="E43" s="9" t="s">
        <v>372</v>
      </c>
      <c r="F43" s="9" t="s">
        <v>373</v>
      </c>
    </row>
    <row r="44" spans="1:6" ht="15" customHeight="1" x14ac:dyDescent="0.2">
      <c r="A44" s="9" t="s">
        <v>340</v>
      </c>
      <c r="B44" s="9" t="s">
        <v>132</v>
      </c>
      <c r="C44" s="9" t="s">
        <v>302</v>
      </c>
      <c r="D44" s="9" t="s">
        <v>317</v>
      </c>
      <c r="E44" s="9" t="s">
        <v>374</v>
      </c>
      <c r="F44" s="9" t="s">
        <v>375</v>
      </c>
    </row>
    <row r="45" spans="1:6" ht="15" customHeight="1" x14ac:dyDescent="0.2">
      <c r="A45" s="9" t="s">
        <v>340</v>
      </c>
      <c r="B45" s="9" t="s">
        <v>43</v>
      </c>
      <c r="C45" s="9" t="s">
        <v>302</v>
      </c>
      <c r="D45" s="9" t="s">
        <v>317</v>
      </c>
      <c r="E45" s="9" t="s">
        <v>376</v>
      </c>
      <c r="F45" s="9" t="s">
        <v>307</v>
      </c>
    </row>
    <row r="46" spans="1:6" ht="15" customHeight="1" x14ac:dyDescent="0.2">
      <c r="A46" s="7" t="s">
        <v>377</v>
      </c>
      <c r="B46" s="8"/>
      <c r="C46" s="8"/>
      <c r="D46" s="8"/>
      <c r="E46" s="8"/>
      <c r="F46" s="8"/>
    </row>
    <row r="47" spans="1:6" ht="15" customHeight="1" x14ac:dyDescent="0.2">
      <c r="A47" s="9" t="s">
        <v>377</v>
      </c>
      <c r="B47" s="9" t="s">
        <v>25</v>
      </c>
      <c r="C47" s="9" t="s">
        <v>302</v>
      </c>
      <c r="D47" s="9" t="s">
        <v>303</v>
      </c>
      <c r="E47" s="9" t="s">
        <v>341</v>
      </c>
      <c r="F47" s="9" t="s">
        <v>378</v>
      </c>
    </row>
    <row r="48" spans="1:6" ht="15" customHeight="1" x14ac:dyDescent="0.2">
      <c r="A48" s="9" t="s">
        <v>377</v>
      </c>
      <c r="B48" s="9" t="s">
        <v>112</v>
      </c>
      <c r="C48" s="9" t="s">
        <v>302</v>
      </c>
      <c r="D48" s="9" t="s">
        <v>303</v>
      </c>
      <c r="E48" s="9" t="s">
        <v>379</v>
      </c>
      <c r="F48" s="9" t="s">
        <v>380</v>
      </c>
    </row>
    <row r="49" spans="1:6" ht="15" customHeight="1" x14ac:dyDescent="0.2">
      <c r="A49" s="9" t="s">
        <v>377</v>
      </c>
      <c r="B49" s="9" t="s">
        <v>162</v>
      </c>
      <c r="C49" s="9" t="s">
        <v>313</v>
      </c>
      <c r="D49" s="9" t="s">
        <v>303</v>
      </c>
      <c r="E49" s="9" t="s">
        <v>381</v>
      </c>
      <c r="F49" s="9" t="s">
        <v>382</v>
      </c>
    </row>
    <row r="50" spans="1:6" ht="15" customHeight="1" x14ac:dyDescent="0.2">
      <c r="A50" s="9" t="s">
        <v>377</v>
      </c>
      <c r="B50" s="9" t="s">
        <v>163</v>
      </c>
      <c r="C50" s="9" t="s">
        <v>313</v>
      </c>
      <c r="D50" s="9" t="s">
        <v>303</v>
      </c>
      <c r="E50" s="9" t="s">
        <v>383</v>
      </c>
      <c r="F50" s="9" t="s">
        <v>384</v>
      </c>
    </row>
    <row r="51" spans="1:6" ht="15" customHeight="1" x14ac:dyDescent="0.2">
      <c r="A51" s="9" t="s">
        <v>377</v>
      </c>
      <c r="B51" s="9" t="s">
        <v>164</v>
      </c>
      <c r="C51" s="9" t="s">
        <v>346</v>
      </c>
      <c r="D51" s="9" t="s">
        <v>317</v>
      </c>
      <c r="E51" s="9" t="s">
        <v>385</v>
      </c>
      <c r="F51" s="9" t="s">
        <v>350</v>
      </c>
    </row>
    <row r="52" spans="1:6" ht="15" customHeight="1" x14ac:dyDescent="0.2">
      <c r="A52" s="9" t="s">
        <v>377</v>
      </c>
      <c r="B52" s="9" t="s">
        <v>165</v>
      </c>
      <c r="C52" s="9" t="s">
        <v>346</v>
      </c>
      <c r="D52" s="9" t="s">
        <v>317</v>
      </c>
      <c r="E52" s="9" t="s">
        <v>386</v>
      </c>
      <c r="F52" s="9" t="s">
        <v>350</v>
      </c>
    </row>
    <row r="53" spans="1:6" ht="15" customHeight="1" x14ac:dyDescent="0.2">
      <c r="A53" s="9" t="s">
        <v>377</v>
      </c>
      <c r="B53" s="9" t="s">
        <v>166</v>
      </c>
      <c r="C53" s="9" t="s">
        <v>346</v>
      </c>
      <c r="D53" s="9" t="s">
        <v>317</v>
      </c>
      <c r="E53" s="9" t="s">
        <v>387</v>
      </c>
      <c r="F53" s="9" t="s">
        <v>350</v>
      </c>
    </row>
    <row r="54" spans="1:6" ht="15" customHeight="1" x14ac:dyDescent="0.2">
      <c r="A54" s="9" t="s">
        <v>377</v>
      </c>
      <c r="B54" s="9" t="s">
        <v>167</v>
      </c>
      <c r="C54" s="9" t="s">
        <v>346</v>
      </c>
      <c r="D54" s="9" t="s">
        <v>317</v>
      </c>
      <c r="E54" s="9" t="s">
        <v>388</v>
      </c>
      <c r="F54" s="9" t="s">
        <v>350</v>
      </c>
    </row>
    <row r="55" spans="1:6" ht="15" customHeight="1" x14ac:dyDescent="0.2">
      <c r="A55" s="9" t="s">
        <v>377</v>
      </c>
      <c r="B55" s="9" t="s">
        <v>168</v>
      </c>
      <c r="C55" s="9" t="s">
        <v>346</v>
      </c>
      <c r="D55" s="9" t="s">
        <v>317</v>
      </c>
      <c r="E55" s="9" t="s">
        <v>389</v>
      </c>
      <c r="F55" s="9" t="s">
        <v>350</v>
      </c>
    </row>
    <row r="56" spans="1:6" ht="15" customHeight="1" x14ac:dyDescent="0.2">
      <c r="A56" s="9" t="s">
        <v>377</v>
      </c>
      <c r="B56" s="9" t="s">
        <v>169</v>
      </c>
      <c r="C56" s="9" t="s">
        <v>346</v>
      </c>
      <c r="D56" s="9" t="s">
        <v>317</v>
      </c>
      <c r="E56" s="9" t="s">
        <v>390</v>
      </c>
      <c r="F56" s="9" t="s">
        <v>350</v>
      </c>
    </row>
    <row r="57" spans="1:6" ht="15" customHeight="1" x14ac:dyDescent="0.2">
      <c r="A57" s="9" t="s">
        <v>377</v>
      </c>
      <c r="B57" s="9" t="s">
        <v>170</v>
      </c>
      <c r="C57" s="9" t="s">
        <v>346</v>
      </c>
      <c r="D57" s="9" t="s">
        <v>317</v>
      </c>
      <c r="E57" s="9" t="s">
        <v>391</v>
      </c>
      <c r="F57" s="9" t="s">
        <v>350</v>
      </c>
    </row>
    <row r="58" spans="1:6" ht="15" customHeight="1" x14ac:dyDescent="0.2">
      <c r="A58" s="9" t="s">
        <v>377</v>
      </c>
      <c r="B58" s="9" t="s">
        <v>171</v>
      </c>
      <c r="C58" s="9" t="s">
        <v>346</v>
      </c>
      <c r="D58" s="9" t="s">
        <v>317</v>
      </c>
      <c r="E58" s="9" t="s">
        <v>392</v>
      </c>
      <c r="F58" s="9" t="s">
        <v>393</v>
      </c>
    </row>
    <row r="59" spans="1:6" ht="27.75" customHeight="1" x14ac:dyDescent="0.2">
      <c r="A59" s="9" t="s">
        <v>377</v>
      </c>
      <c r="B59" s="9" t="s">
        <v>172</v>
      </c>
      <c r="C59" s="9" t="s">
        <v>313</v>
      </c>
      <c r="D59" s="9" t="s">
        <v>317</v>
      </c>
      <c r="E59" s="9" t="s">
        <v>394</v>
      </c>
      <c r="F59" s="9" t="s">
        <v>395</v>
      </c>
    </row>
    <row r="60" spans="1:6" ht="15" customHeight="1" x14ac:dyDescent="0.2">
      <c r="A60" s="9" t="s">
        <v>377</v>
      </c>
      <c r="B60" s="9" t="s">
        <v>173</v>
      </c>
      <c r="C60" s="9" t="s">
        <v>308</v>
      </c>
      <c r="D60" s="9" t="s">
        <v>317</v>
      </c>
      <c r="E60" s="9" t="s">
        <v>396</v>
      </c>
      <c r="F60" s="9" t="s">
        <v>397</v>
      </c>
    </row>
    <row r="61" spans="1:6" ht="15" customHeight="1" x14ac:dyDescent="0.2">
      <c r="A61" s="9" t="s">
        <v>377</v>
      </c>
      <c r="B61" s="9" t="s">
        <v>174</v>
      </c>
      <c r="C61" s="9" t="s">
        <v>308</v>
      </c>
      <c r="D61" s="9" t="s">
        <v>317</v>
      </c>
      <c r="E61" s="9" t="s">
        <v>398</v>
      </c>
      <c r="F61" s="9" t="s">
        <v>397</v>
      </c>
    </row>
    <row r="62" spans="1:6" ht="15" customHeight="1" x14ac:dyDescent="0.2">
      <c r="A62" s="9" t="s">
        <v>377</v>
      </c>
      <c r="B62" s="9" t="s">
        <v>175</v>
      </c>
      <c r="C62" s="9" t="s">
        <v>346</v>
      </c>
      <c r="D62" s="9" t="s">
        <v>317</v>
      </c>
      <c r="E62" s="9" t="s">
        <v>399</v>
      </c>
      <c r="F62" s="9" t="s">
        <v>350</v>
      </c>
    </row>
    <row r="63" spans="1:6" ht="15" customHeight="1" x14ac:dyDescent="0.2">
      <c r="A63" s="9" t="s">
        <v>377</v>
      </c>
      <c r="B63" s="9" t="s">
        <v>176</v>
      </c>
      <c r="C63" s="9" t="s">
        <v>346</v>
      </c>
      <c r="D63" s="9" t="s">
        <v>317</v>
      </c>
      <c r="E63" s="9" t="s">
        <v>400</v>
      </c>
      <c r="F63" s="9" t="s">
        <v>350</v>
      </c>
    </row>
    <row r="64" spans="1:6" ht="15" customHeight="1" x14ac:dyDescent="0.2">
      <c r="A64" s="9" t="s">
        <v>377</v>
      </c>
      <c r="B64" s="9" t="s">
        <v>177</v>
      </c>
      <c r="C64" s="9" t="s">
        <v>308</v>
      </c>
      <c r="D64" s="9" t="s">
        <v>317</v>
      </c>
      <c r="E64" s="9" t="s">
        <v>401</v>
      </c>
      <c r="F64" s="9" t="s">
        <v>402</v>
      </c>
    </row>
    <row r="65" spans="1:6" ht="15" customHeight="1" x14ac:dyDescent="0.2">
      <c r="A65" s="9" t="s">
        <v>377</v>
      </c>
      <c r="B65" s="9" t="s">
        <v>178</v>
      </c>
      <c r="C65" s="9" t="s">
        <v>302</v>
      </c>
      <c r="D65" s="9" t="s">
        <v>317</v>
      </c>
      <c r="E65" s="9" t="s">
        <v>403</v>
      </c>
      <c r="F65" s="9" t="s">
        <v>404</v>
      </c>
    </row>
    <row r="66" spans="1:6" ht="15" customHeight="1" x14ac:dyDescent="0.2">
      <c r="A66" s="9" t="s">
        <v>377</v>
      </c>
      <c r="B66" s="9" t="s">
        <v>179</v>
      </c>
      <c r="C66" s="9" t="s">
        <v>302</v>
      </c>
      <c r="D66" s="9" t="s">
        <v>317</v>
      </c>
      <c r="E66" s="9" t="s">
        <v>405</v>
      </c>
      <c r="F66" s="9" t="s">
        <v>406</v>
      </c>
    </row>
    <row r="67" spans="1:6" ht="15" customHeight="1" x14ac:dyDescent="0.2">
      <c r="A67" s="9" t="s">
        <v>377</v>
      </c>
      <c r="B67" s="9" t="s">
        <v>43</v>
      </c>
      <c r="C67" s="9" t="s">
        <v>302</v>
      </c>
      <c r="D67" s="9" t="s">
        <v>317</v>
      </c>
      <c r="E67" s="9" t="s">
        <v>376</v>
      </c>
      <c r="F67" s="9" t="s">
        <v>307</v>
      </c>
    </row>
    <row r="68" spans="1:6" ht="15" customHeight="1" x14ac:dyDescent="0.2">
      <c r="A68" s="7" t="s">
        <v>407</v>
      </c>
      <c r="B68" s="8"/>
      <c r="C68" s="8"/>
      <c r="D68" s="8"/>
      <c r="E68" s="8"/>
      <c r="F68" s="8"/>
    </row>
    <row r="69" spans="1:6" ht="15" customHeight="1" x14ac:dyDescent="0.2">
      <c r="A69" s="9" t="s">
        <v>407</v>
      </c>
      <c r="B69" s="9" t="s">
        <v>25</v>
      </c>
      <c r="C69" s="9" t="s">
        <v>302</v>
      </c>
      <c r="D69" s="9" t="s">
        <v>303</v>
      </c>
      <c r="E69" s="9" t="s">
        <v>341</v>
      </c>
      <c r="F69" s="9" t="s">
        <v>378</v>
      </c>
    </row>
    <row r="70" spans="1:6" ht="15" customHeight="1" x14ac:dyDescent="0.2">
      <c r="A70" s="9" t="s">
        <v>407</v>
      </c>
      <c r="B70" s="9" t="s">
        <v>112</v>
      </c>
      <c r="C70" s="9" t="s">
        <v>302</v>
      </c>
      <c r="D70" s="9" t="s">
        <v>303</v>
      </c>
      <c r="E70" s="9" t="s">
        <v>379</v>
      </c>
      <c r="F70" s="9" t="s">
        <v>380</v>
      </c>
    </row>
    <row r="71" spans="1:6" ht="27.75" customHeight="1" x14ac:dyDescent="0.2">
      <c r="A71" s="9" t="s">
        <v>407</v>
      </c>
      <c r="B71" s="9" t="s">
        <v>187</v>
      </c>
      <c r="C71" s="9" t="s">
        <v>313</v>
      </c>
      <c r="D71" s="9" t="s">
        <v>303</v>
      </c>
      <c r="E71" s="9" t="s">
        <v>408</v>
      </c>
      <c r="F71" s="9" t="s">
        <v>409</v>
      </c>
    </row>
    <row r="72" spans="1:6" ht="15" customHeight="1" x14ac:dyDescent="0.2">
      <c r="A72" s="9" t="s">
        <v>407</v>
      </c>
      <c r="B72" s="9" t="s">
        <v>188</v>
      </c>
      <c r="C72" s="9" t="s">
        <v>302</v>
      </c>
      <c r="D72" s="9" t="s">
        <v>303</v>
      </c>
      <c r="E72" s="9" t="s">
        <v>410</v>
      </c>
      <c r="F72" s="9" t="s">
        <v>307</v>
      </c>
    </row>
    <row r="73" spans="1:6" ht="15" customHeight="1" x14ac:dyDescent="0.2">
      <c r="A73" s="9" t="s">
        <v>407</v>
      </c>
      <c r="B73" s="9" t="s">
        <v>189</v>
      </c>
      <c r="C73" s="9" t="s">
        <v>346</v>
      </c>
      <c r="D73" s="9" t="s">
        <v>303</v>
      </c>
      <c r="E73" s="9" t="s">
        <v>411</v>
      </c>
      <c r="F73" s="9" t="s">
        <v>412</v>
      </c>
    </row>
    <row r="74" spans="1:6" ht="15" customHeight="1" x14ac:dyDescent="0.2">
      <c r="A74" s="9" t="s">
        <v>407</v>
      </c>
      <c r="B74" s="9" t="s">
        <v>190</v>
      </c>
      <c r="C74" s="9" t="s">
        <v>302</v>
      </c>
      <c r="D74" s="9" t="s">
        <v>317</v>
      </c>
      <c r="E74" s="9" t="s">
        <v>413</v>
      </c>
      <c r="F74" s="9" t="s">
        <v>414</v>
      </c>
    </row>
    <row r="75" spans="1:6" ht="15" customHeight="1" x14ac:dyDescent="0.2">
      <c r="A75" s="9" t="s">
        <v>407</v>
      </c>
      <c r="B75" s="9" t="s">
        <v>191</v>
      </c>
      <c r="C75" s="9" t="s">
        <v>308</v>
      </c>
      <c r="D75" s="9" t="s">
        <v>317</v>
      </c>
      <c r="E75" s="9" t="s">
        <v>415</v>
      </c>
      <c r="F75" s="9" t="s">
        <v>416</v>
      </c>
    </row>
    <row r="76" spans="1:6" ht="15" customHeight="1" x14ac:dyDescent="0.2">
      <c r="A76" s="9" t="s">
        <v>407</v>
      </c>
      <c r="B76" s="9" t="s">
        <v>173</v>
      </c>
      <c r="C76" s="9" t="s">
        <v>308</v>
      </c>
      <c r="D76" s="9" t="s">
        <v>317</v>
      </c>
      <c r="E76" s="9" t="s">
        <v>417</v>
      </c>
      <c r="F76" s="9" t="s">
        <v>416</v>
      </c>
    </row>
    <row r="77" spans="1:6" ht="15" customHeight="1" x14ac:dyDescent="0.2">
      <c r="A77" s="9" t="s">
        <v>407</v>
      </c>
      <c r="B77" s="9" t="s">
        <v>192</v>
      </c>
      <c r="C77" s="9" t="s">
        <v>308</v>
      </c>
      <c r="D77" s="9" t="s">
        <v>317</v>
      </c>
      <c r="E77" s="9" t="s">
        <v>418</v>
      </c>
      <c r="F77" s="9" t="s">
        <v>416</v>
      </c>
    </row>
    <row r="78" spans="1:6" ht="15" customHeight="1" x14ac:dyDescent="0.2">
      <c r="A78" s="9" t="s">
        <v>407</v>
      </c>
      <c r="B78" s="9" t="s">
        <v>174</v>
      </c>
      <c r="C78" s="9" t="s">
        <v>308</v>
      </c>
      <c r="D78" s="9" t="s">
        <v>317</v>
      </c>
      <c r="E78" s="9" t="s">
        <v>419</v>
      </c>
      <c r="F78" s="9" t="s">
        <v>416</v>
      </c>
    </row>
    <row r="79" spans="1:6" ht="15" customHeight="1" x14ac:dyDescent="0.2">
      <c r="A79" s="9" t="s">
        <v>407</v>
      </c>
      <c r="B79" s="9" t="s">
        <v>193</v>
      </c>
      <c r="C79" s="9" t="s">
        <v>313</v>
      </c>
      <c r="D79" s="9" t="s">
        <v>317</v>
      </c>
      <c r="E79" s="9" t="s">
        <v>420</v>
      </c>
      <c r="F79" s="9" t="s">
        <v>421</v>
      </c>
    </row>
    <row r="80" spans="1:6" ht="15" customHeight="1" x14ac:dyDescent="0.2">
      <c r="A80" s="9" t="s">
        <v>407</v>
      </c>
      <c r="B80" s="9" t="s">
        <v>194</v>
      </c>
      <c r="C80" s="9" t="s">
        <v>346</v>
      </c>
      <c r="D80" s="9" t="s">
        <v>317</v>
      </c>
      <c r="E80" s="9" t="s">
        <v>422</v>
      </c>
      <c r="F80" s="9" t="s">
        <v>423</v>
      </c>
    </row>
    <row r="81" spans="1:6" ht="15" customHeight="1" x14ac:dyDescent="0.2">
      <c r="A81" s="9" t="s">
        <v>407</v>
      </c>
      <c r="B81" s="9" t="s">
        <v>195</v>
      </c>
      <c r="C81" s="9" t="s">
        <v>346</v>
      </c>
      <c r="D81" s="9" t="s">
        <v>317</v>
      </c>
      <c r="E81" s="9" t="s">
        <v>424</v>
      </c>
      <c r="F81" s="9" t="s">
        <v>423</v>
      </c>
    </row>
    <row r="82" spans="1:6" ht="15" customHeight="1" x14ac:dyDescent="0.2">
      <c r="A82" s="9" t="s">
        <v>407</v>
      </c>
      <c r="B82" s="9" t="s">
        <v>196</v>
      </c>
      <c r="C82" s="9" t="s">
        <v>346</v>
      </c>
      <c r="D82" s="9" t="s">
        <v>317</v>
      </c>
      <c r="E82" s="9" t="s">
        <v>425</v>
      </c>
      <c r="F82" s="9" t="s">
        <v>423</v>
      </c>
    </row>
    <row r="83" spans="1:6" ht="15" customHeight="1" x14ac:dyDescent="0.2">
      <c r="A83" s="9" t="s">
        <v>407</v>
      </c>
      <c r="B83" s="9" t="s">
        <v>197</v>
      </c>
      <c r="C83" s="9" t="s">
        <v>346</v>
      </c>
      <c r="D83" s="9" t="s">
        <v>317</v>
      </c>
      <c r="E83" s="9" t="s">
        <v>426</v>
      </c>
      <c r="F83" s="9" t="s">
        <v>427</v>
      </c>
    </row>
    <row r="84" spans="1:6" ht="15" customHeight="1" x14ac:dyDescent="0.2">
      <c r="A84" s="9" t="s">
        <v>407</v>
      </c>
      <c r="B84" s="9" t="s">
        <v>198</v>
      </c>
      <c r="C84" s="9" t="s">
        <v>321</v>
      </c>
      <c r="D84" s="9" t="s">
        <v>317</v>
      </c>
      <c r="E84" s="9" t="s">
        <v>428</v>
      </c>
      <c r="F84" s="9" t="s">
        <v>323</v>
      </c>
    </row>
    <row r="85" spans="1:6" ht="15" customHeight="1" x14ac:dyDescent="0.2">
      <c r="A85" s="9" t="s">
        <v>407</v>
      </c>
      <c r="B85" s="9" t="s">
        <v>199</v>
      </c>
      <c r="C85" s="9" t="s">
        <v>302</v>
      </c>
      <c r="D85" s="9" t="s">
        <v>317</v>
      </c>
      <c r="E85" s="9" t="s">
        <v>429</v>
      </c>
      <c r="F85" s="9" t="s">
        <v>404</v>
      </c>
    </row>
    <row r="86" spans="1:6" ht="15" customHeight="1" x14ac:dyDescent="0.2">
      <c r="A86" s="9" t="s">
        <v>407</v>
      </c>
      <c r="B86" s="9" t="s">
        <v>200</v>
      </c>
      <c r="C86" s="9" t="s">
        <v>346</v>
      </c>
      <c r="D86" s="9" t="s">
        <v>317</v>
      </c>
      <c r="E86" s="9" t="s">
        <v>430</v>
      </c>
      <c r="F86" s="9" t="s">
        <v>431</v>
      </c>
    </row>
    <row r="87" spans="1:6" ht="15" customHeight="1" x14ac:dyDescent="0.2">
      <c r="A87" s="9" t="s">
        <v>407</v>
      </c>
      <c r="B87" s="9" t="s">
        <v>201</v>
      </c>
      <c r="C87" s="9" t="s">
        <v>346</v>
      </c>
      <c r="D87" s="9" t="s">
        <v>317</v>
      </c>
      <c r="E87" s="9" t="s">
        <v>432</v>
      </c>
      <c r="F87" s="9" t="s">
        <v>350</v>
      </c>
    </row>
    <row r="88" spans="1:6" ht="15" customHeight="1" x14ac:dyDescent="0.2">
      <c r="A88" s="9" t="s">
        <v>407</v>
      </c>
      <c r="B88" s="9" t="s">
        <v>202</v>
      </c>
      <c r="C88" s="9" t="s">
        <v>346</v>
      </c>
      <c r="D88" s="9" t="s">
        <v>317</v>
      </c>
      <c r="E88" s="9" t="s">
        <v>433</v>
      </c>
      <c r="F88" s="9" t="s">
        <v>423</v>
      </c>
    </row>
    <row r="89" spans="1:6" ht="15" customHeight="1" x14ac:dyDescent="0.2">
      <c r="A89" s="9" t="s">
        <v>407</v>
      </c>
      <c r="B89" s="9" t="s">
        <v>203</v>
      </c>
      <c r="C89" s="9" t="s">
        <v>346</v>
      </c>
      <c r="D89" s="9" t="s">
        <v>317</v>
      </c>
      <c r="E89" s="9" t="s">
        <v>434</v>
      </c>
      <c r="F89" s="9" t="s">
        <v>423</v>
      </c>
    </row>
    <row r="90" spans="1:6" ht="15" customHeight="1" x14ac:dyDescent="0.2">
      <c r="A90" s="9" t="s">
        <v>407</v>
      </c>
      <c r="B90" s="9" t="s">
        <v>204</v>
      </c>
      <c r="C90" s="9" t="s">
        <v>346</v>
      </c>
      <c r="D90" s="9" t="s">
        <v>317</v>
      </c>
      <c r="E90" s="9" t="s">
        <v>435</v>
      </c>
      <c r="F90" s="9" t="s">
        <v>423</v>
      </c>
    </row>
    <row r="91" spans="1:6" ht="15" customHeight="1" x14ac:dyDescent="0.2">
      <c r="A91" s="9" t="s">
        <v>407</v>
      </c>
      <c r="B91" s="9" t="s">
        <v>43</v>
      </c>
      <c r="C91" s="9" t="s">
        <v>302</v>
      </c>
      <c r="D91" s="9" t="s">
        <v>317</v>
      </c>
      <c r="E91" s="9" t="s">
        <v>376</v>
      </c>
      <c r="F91" s="9" t="s">
        <v>307</v>
      </c>
    </row>
    <row r="92" spans="1:6" ht="15" customHeight="1" x14ac:dyDescent="0.2">
      <c r="A92" s="7" t="s">
        <v>436</v>
      </c>
      <c r="B92" s="8"/>
      <c r="C92" s="8"/>
      <c r="D92" s="8"/>
      <c r="E92" s="8"/>
      <c r="F92" s="8"/>
    </row>
    <row r="93" spans="1:6" ht="15" customHeight="1" x14ac:dyDescent="0.2">
      <c r="A93" s="9" t="s">
        <v>436</v>
      </c>
      <c r="B93" s="9" t="s">
        <v>287</v>
      </c>
      <c r="C93" s="9" t="s">
        <v>308</v>
      </c>
      <c r="D93" s="9" t="s">
        <v>303</v>
      </c>
      <c r="E93" s="9" t="s">
        <v>437</v>
      </c>
      <c r="F93" s="9" t="s">
        <v>438</v>
      </c>
    </row>
    <row r="94" spans="1:6" ht="15" customHeight="1" x14ac:dyDescent="0.2">
      <c r="A94" s="9" t="s">
        <v>436</v>
      </c>
      <c r="B94" s="9" t="s">
        <v>25</v>
      </c>
      <c r="C94" s="9" t="s">
        <v>302</v>
      </c>
      <c r="D94" s="9" t="s">
        <v>303</v>
      </c>
      <c r="E94" s="9" t="s">
        <v>341</v>
      </c>
      <c r="F94" s="9" t="s">
        <v>439</v>
      </c>
    </row>
    <row r="95" spans="1:6" ht="15" customHeight="1" x14ac:dyDescent="0.2">
      <c r="A95" s="9" t="s">
        <v>436</v>
      </c>
      <c r="B95" s="9" t="s">
        <v>112</v>
      </c>
      <c r="C95" s="9" t="s">
        <v>302</v>
      </c>
      <c r="D95" s="9" t="s">
        <v>303</v>
      </c>
      <c r="E95" s="9" t="s">
        <v>379</v>
      </c>
      <c r="F95" s="9" t="s">
        <v>439</v>
      </c>
    </row>
    <row r="96" spans="1:6" ht="15" customHeight="1" x14ac:dyDescent="0.2">
      <c r="A96" s="9" t="s">
        <v>436</v>
      </c>
      <c r="B96" s="9" t="s">
        <v>187</v>
      </c>
      <c r="C96" s="9" t="s">
        <v>313</v>
      </c>
      <c r="D96" s="9" t="s">
        <v>303</v>
      </c>
      <c r="E96" s="9" t="s">
        <v>408</v>
      </c>
      <c r="F96" s="9" t="s">
        <v>439</v>
      </c>
    </row>
    <row r="97" spans="1:6" ht="15" customHeight="1" x14ac:dyDescent="0.2">
      <c r="A97" s="9" t="s">
        <v>436</v>
      </c>
      <c r="B97" s="9" t="s">
        <v>440</v>
      </c>
      <c r="C97" s="9" t="s">
        <v>346</v>
      </c>
      <c r="D97" s="9" t="s">
        <v>303</v>
      </c>
      <c r="E97" s="9" t="s">
        <v>441</v>
      </c>
      <c r="F97" s="9" t="s">
        <v>442</v>
      </c>
    </row>
    <row r="98" spans="1:6" ht="15" customHeight="1" x14ac:dyDescent="0.2">
      <c r="A98" s="9" t="s">
        <v>436</v>
      </c>
      <c r="B98" s="9" t="s">
        <v>443</v>
      </c>
      <c r="C98" s="9" t="s">
        <v>346</v>
      </c>
      <c r="D98" s="9" t="s">
        <v>303</v>
      </c>
      <c r="E98" s="9" t="s">
        <v>444</v>
      </c>
      <c r="F98" s="9" t="s">
        <v>442</v>
      </c>
    </row>
    <row r="99" spans="1:6" ht="15" customHeight="1" x14ac:dyDescent="0.2">
      <c r="A99" s="9" t="s">
        <v>436</v>
      </c>
      <c r="B99" s="9" t="s">
        <v>445</v>
      </c>
      <c r="C99" s="9" t="s">
        <v>346</v>
      </c>
      <c r="D99" s="9" t="s">
        <v>303</v>
      </c>
      <c r="E99" s="9" t="s">
        <v>446</v>
      </c>
      <c r="F99" s="9" t="s">
        <v>447</v>
      </c>
    </row>
    <row r="100" spans="1:6" ht="15" customHeight="1" x14ac:dyDescent="0.2">
      <c r="A100" s="9" t="s">
        <v>436</v>
      </c>
      <c r="B100" s="9" t="s">
        <v>448</v>
      </c>
      <c r="C100" s="9" t="s">
        <v>308</v>
      </c>
      <c r="D100" s="9" t="s">
        <v>303</v>
      </c>
      <c r="E100" s="9" t="s">
        <v>449</v>
      </c>
      <c r="F100" s="9" t="s">
        <v>439</v>
      </c>
    </row>
    <row r="101" spans="1:6" ht="27.75" customHeight="1" x14ac:dyDescent="0.2">
      <c r="A101" s="9" t="s">
        <v>436</v>
      </c>
      <c r="B101" s="9" t="s">
        <v>292</v>
      </c>
      <c r="C101" s="9" t="s">
        <v>313</v>
      </c>
      <c r="D101" s="9" t="s">
        <v>303</v>
      </c>
      <c r="E101" s="9" t="s">
        <v>450</v>
      </c>
      <c r="F101" s="9" t="s">
        <v>451</v>
      </c>
    </row>
    <row r="102" spans="1:6" ht="15" customHeight="1" x14ac:dyDescent="0.2">
      <c r="A102" s="9" t="s">
        <v>436</v>
      </c>
      <c r="B102" s="9" t="s">
        <v>120</v>
      </c>
      <c r="C102" s="9" t="s">
        <v>313</v>
      </c>
      <c r="D102" s="9" t="s">
        <v>303</v>
      </c>
      <c r="E102" s="9" t="s">
        <v>452</v>
      </c>
      <c r="F102" s="9" t="s">
        <v>453</v>
      </c>
    </row>
    <row r="103" spans="1:6" ht="15" customHeight="1" x14ac:dyDescent="0.2">
      <c r="A103" s="9" t="s">
        <v>436</v>
      </c>
      <c r="B103" s="9" t="s">
        <v>293</v>
      </c>
      <c r="C103" s="9" t="s">
        <v>321</v>
      </c>
      <c r="D103" s="9" t="s">
        <v>303</v>
      </c>
      <c r="E103" s="9" t="s">
        <v>454</v>
      </c>
      <c r="F103" s="9" t="s">
        <v>323</v>
      </c>
    </row>
    <row r="104" spans="1:6" ht="15" customHeight="1" x14ac:dyDescent="0.2">
      <c r="A104" s="9" t="s">
        <v>436</v>
      </c>
      <c r="B104" s="9" t="s">
        <v>124</v>
      </c>
      <c r="C104" s="9" t="s">
        <v>313</v>
      </c>
      <c r="D104" s="9" t="s">
        <v>317</v>
      </c>
      <c r="E104" s="9" t="s">
        <v>455</v>
      </c>
      <c r="F104" s="9" t="s">
        <v>453</v>
      </c>
    </row>
    <row r="105" spans="1:6" ht="15" customHeight="1" x14ac:dyDescent="0.2">
      <c r="A105" s="9" t="s">
        <v>436</v>
      </c>
      <c r="B105" s="9" t="s">
        <v>123</v>
      </c>
      <c r="C105" s="9" t="s">
        <v>313</v>
      </c>
      <c r="D105" s="9" t="s">
        <v>317</v>
      </c>
      <c r="E105" s="9" t="s">
        <v>456</v>
      </c>
      <c r="F105" s="9" t="s">
        <v>453</v>
      </c>
    </row>
    <row r="106" spans="1:6" ht="15" customHeight="1" x14ac:dyDescent="0.2">
      <c r="A106" s="9" t="s">
        <v>436</v>
      </c>
      <c r="B106" s="9" t="s">
        <v>171</v>
      </c>
      <c r="C106" s="9" t="s">
        <v>346</v>
      </c>
      <c r="D106" s="9" t="s">
        <v>317</v>
      </c>
      <c r="E106" s="9" t="s">
        <v>457</v>
      </c>
      <c r="F106" s="9" t="s">
        <v>458</v>
      </c>
    </row>
    <row r="107" spans="1:6" ht="15" customHeight="1" x14ac:dyDescent="0.2">
      <c r="A107" s="9" t="s">
        <v>436</v>
      </c>
      <c r="B107" s="9" t="s">
        <v>129</v>
      </c>
      <c r="C107" s="9" t="s">
        <v>346</v>
      </c>
      <c r="D107" s="9" t="s">
        <v>317</v>
      </c>
      <c r="E107" s="9" t="s">
        <v>459</v>
      </c>
      <c r="F107" s="9" t="s">
        <v>453</v>
      </c>
    </row>
    <row r="108" spans="1:6" ht="15" customHeight="1" x14ac:dyDescent="0.2">
      <c r="A108" s="9" t="s">
        <v>436</v>
      </c>
      <c r="B108" s="9" t="s">
        <v>131</v>
      </c>
      <c r="C108" s="9" t="s">
        <v>313</v>
      </c>
      <c r="D108" s="9" t="s">
        <v>317</v>
      </c>
      <c r="E108" s="9" t="s">
        <v>460</v>
      </c>
      <c r="F108" s="9" t="s">
        <v>453</v>
      </c>
    </row>
    <row r="109" spans="1:6" ht="15" customHeight="1" x14ac:dyDescent="0.2">
      <c r="A109" s="9" t="s">
        <v>436</v>
      </c>
      <c r="B109" s="9" t="s">
        <v>41</v>
      </c>
      <c r="C109" s="9" t="s">
        <v>313</v>
      </c>
      <c r="D109" s="9" t="s">
        <v>303</v>
      </c>
      <c r="E109" s="9" t="s">
        <v>461</v>
      </c>
      <c r="F109" s="9" t="s">
        <v>462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tbl_study</vt:lpstr>
      <vt:lpstr>tbl_population</vt:lpstr>
      <vt:lpstr>tbl_ttp</vt:lpstr>
      <vt:lpstr>tbl_outcomes</vt:lpstr>
      <vt:lpstr>tbl_es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Russell Edward Lewis</cp:lastModifiedBy>
  <cp:revision>0</cp:revision>
  <dcterms:created xsi:type="dcterms:W3CDTF">2026-02-06T07:28:58Z</dcterms:created>
  <dcterms:modified xsi:type="dcterms:W3CDTF">2026-02-10T08:24:14Z</dcterms:modified>
  <dc:language>en-US</dc:language>
</cp:coreProperties>
</file>